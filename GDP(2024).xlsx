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E7AD3A-A37C-4F41-AE7E-0C757C0019D1}" xr6:coauthVersionLast="47" xr6:coauthVersionMax="47" xr10:uidLastSave="{00000000-0000-0000-0000-000000000000}"/>
  <bookViews>
    <workbookView xWindow="-110" yWindow="-110" windowWidth="19420" windowHeight="10300" xr2:uid="{AC62F57F-DDCF-4EA6-AA83-3C65033CFCCD}"/>
  </bookViews>
  <sheets>
    <sheet name="Start_Here" sheetId="4" r:id="rId1"/>
    <sheet name="GDP forecast or estimate (milli" sheetId="2" r:id="rId2"/>
    <sheet name="Dashboard" sheetId="3" r:id="rId3"/>
  </sheets>
  <definedNames>
    <definedName name="country">'GDP forecast or estimate (milli'!$H$6</definedName>
    <definedName name="ExternalData_1" localSheetId="1" hidden="1">'GDP forecast or estimate (milli'!$A$1:$E$225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1EB467-6DED-43E0-A4F3-4D3F31683E11}" keepAlive="1" name="Query - GDP forecast or estimate (million US$) by country" description="Connection to the 'GDP forecast or estimate (million US$) by country' query in the workbook." type="5" refreshedVersion="8" background="1" saveData="1">
    <dbPr connection="Provider=Microsoft.Mashup.OleDb.1;Data Source=$Workbook$;Location=&quot;GDP forecast or estimate (million US$) by country&quot;;Extended Properties=&quot;&quot;" command="SELECT * FROM [GDP forecast or estimate (million US$) by country]"/>
  </connection>
</connections>
</file>

<file path=xl/sharedStrings.xml><?xml version="1.0" encoding="utf-8"?>
<sst xmlns="http://schemas.openxmlformats.org/spreadsheetml/2006/main" count="239" uniqueCount="235">
  <si>
    <t>Country/Territory</t>
  </si>
  <si>
    <t>World</t>
  </si>
  <si>
    <t>United States</t>
  </si>
  <si>
    <t>China</t>
  </si>
  <si>
    <t>Germany</t>
  </si>
  <si>
    <t>Japan</t>
  </si>
  <si>
    <t>India</t>
  </si>
  <si>
    <t>United Kingdom</t>
  </si>
  <si>
    <t>France</t>
  </si>
  <si>
    <t>Italy</t>
  </si>
  <si>
    <t>Russia</t>
  </si>
  <si>
    <t>Canada</t>
  </si>
  <si>
    <t>Brazil</t>
  </si>
  <si>
    <t>Spain</t>
  </si>
  <si>
    <t>Mexico</t>
  </si>
  <si>
    <t>South Korea</t>
  </si>
  <si>
    <t>Australia</t>
  </si>
  <si>
    <t>Turkey</t>
  </si>
  <si>
    <t>Indonesia</t>
  </si>
  <si>
    <t>Netherlands</t>
  </si>
  <si>
    <t>Saudi Arabia</t>
  </si>
  <si>
    <t>Poland</t>
  </si>
  <si>
    <t>Switzerland</t>
  </si>
  <si>
    <t>Taiwan</t>
  </si>
  <si>
    <t>Belgium</t>
  </si>
  <si>
    <t>Ireland</t>
  </si>
  <si>
    <t>Argentina</t>
  </si>
  <si>
    <t>Sweden</t>
  </si>
  <si>
    <t>Israel</t>
  </si>
  <si>
    <t>Singapore</t>
  </si>
  <si>
    <t>United Arab Emirates</t>
  </si>
  <si>
    <t>Austria</t>
  </si>
  <si>
    <t>Thailand</t>
  </si>
  <si>
    <t>Norway</t>
  </si>
  <si>
    <t>Philippines</t>
  </si>
  <si>
    <t>Vietnam</t>
  </si>
  <si>
    <t>Bangladesh</t>
  </si>
  <si>
    <t>Malaysia</t>
  </si>
  <si>
    <t>Denmark</t>
  </si>
  <si>
    <t>Colombia</t>
  </si>
  <si>
    <t>Hong Kong</t>
  </si>
  <si>
    <t>South Africa</t>
  </si>
  <si>
    <t>Romania</t>
  </si>
  <si>
    <t>Pakistan</t>
  </si>
  <si>
    <t>Czech Republic</t>
  </si>
  <si>
    <t>Iran</t>
  </si>
  <si>
    <t>Egypt</t>
  </si>
  <si>
    <t>Chile</t>
  </si>
  <si>
    <t>Portugal</t>
  </si>
  <si>
    <t>Peru</t>
  </si>
  <si>
    <t>Finland</t>
  </si>
  <si>
    <t>Kazakhstan</t>
  </si>
  <si>
    <t>Algeria</t>
  </si>
  <si>
    <t>Nigeria</t>
  </si>
  <si>
    <t>Greece</t>
  </si>
  <si>
    <t>Iraq</t>
  </si>
  <si>
    <t>New Zealand</t>
  </si>
  <si>
    <t>Hungary</t>
  </si>
  <si>
    <t>Qatar</t>
  </si>
  <si>
    <t>Ukraine</t>
  </si>
  <si>
    <t>Cuba</t>
  </si>
  <si>
    <t>Morocco</t>
  </si>
  <si>
    <t>Kuwait</t>
  </si>
  <si>
    <t>Slovakia</t>
  </si>
  <si>
    <t>Uzbekistan</t>
  </si>
  <si>
    <t>Kenya</t>
  </si>
  <si>
    <t>Ecuador</t>
  </si>
  <si>
    <t>Dominican Republic</t>
  </si>
  <si>
    <t>Bulgaria</t>
  </si>
  <si>
    <t>Puerto Rico</t>
  </si>
  <si>
    <t>Guatemala</t>
  </si>
  <si>
    <t>Angola</t>
  </si>
  <si>
    <t>Ghana</t>
  </si>
  <si>
    <t>Ethiopia</t>
  </si>
  <si>
    <t>Oman</t>
  </si>
  <si>
    <t>Croatia</t>
  </si>
  <si>
    <t>Costa Rica</t>
  </si>
  <si>
    <t>Luxembourg</t>
  </si>
  <si>
    <t>Serbia</t>
  </si>
  <si>
    <t>Ivory Coast</t>
  </si>
  <si>
    <t>Sri Lanka</t>
  </si>
  <si>
    <t>Lithuania</t>
  </si>
  <si>
    <t>Panama</t>
  </si>
  <si>
    <t>Tanzania</t>
  </si>
  <si>
    <t>Belarus</t>
  </si>
  <si>
    <t>Uruguay</t>
  </si>
  <si>
    <t>Venezuela</t>
  </si>
  <si>
    <t>DR Congo</t>
  </si>
  <si>
    <t>Slovenia</t>
  </si>
  <si>
    <t>Azerbaijan</t>
  </si>
  <si>
    <t>Turkmenistan</t>
  </si>
  <si>
    <t>Uganda</t>
  </si>
  <si>
    <t>Cameroon</t>
  </si>
  <si>
    <t>Myanmar</t>
  </si>
  <si>
    <t>Tunisia</t>
  </si>
  <si>
    <t>Bolivia</t>
  </si>
  <si>
    <t>Jordan</t>
  </si>
  <si>
    <t>Zimbabwe</t>
  </si>
  <si>
    <t>Macau</t>
  </si>
  <si>
    <t>Cambodia</t>
  </si>
  <si>
    <t>Libya</t>
  </si>
  <si>
    <t>Latvia</t>
  </si>
  <si>
    <t>Paraguay</t>
  </si>
  <si>
    <t>Bahrain</t>
  </si>
  <si>
    <t>Estonia</t>
  </si>
  <si>
    <t>Nepal</t>
  </si>
  <si>
    <t>Cyprus</t>
  </si>
  <si>
    <t>Honduras</t>
  </si>
  <si>
    <t>Iceland</t>
  </si>
  <si>
    <t>Georgia</t>
  </si>
  <si>
    <t>Senegal</t>
  </si>
  <si>
    <t>El Salvador</t>
  </si>
  <si>
    <t>Sudan</t>
  </si>
  <si>
    <t>Bosnia and Herzegovina</t>
  </si>
  <si>
    <t>Papua New Guinea</t>
  </si>
  <si>
    <t>Haiti</t>
  </si>
  <si>
    <t>Albania</t>
  </si>
  <si>
    <t>Zambia</t>
  </si>
  <si>
    <t>Lebanon</t>
  </si>
  <si>
    <t>Armenia</t>
  </si>
  <si>
    <t>Malta</t>
  </si>
  <si>
    <t>Guinea</t>
  </si>
  <si>
    <t>Burkina Faso</t>
  </si>
  <si>
    <t>Trinidad and Tobago</t>
  </si>
  <si>
    <t>Mali</t>
  </si>
  <si>
    <t>Mongolia</t>
  </si>
  <si>
    <t>Guyana</t>
  </si>
  <si>
    <t>Mozambique</t>
  </si>
  <si>
    <t>Benin</t>
  </si>
  <si>
    <t>Jamaica</t>
  </si>
  <si>
    <t>Niger</t>
  </si>
  <si>
    <t>Chad</t>
  </si>
  <si>
    <t>Gabon</t>
  </si>
  <si>
    <t>Nicaragua</t>
  </si>
  <si>
    <t>Kyrgyzstan</t>
  </si>
  <si>
    <t>Syria</t>
  </si>
  <si>
    <t>Moldova</t>
  </si>
  <si>
    <t>Madagascar</t>
  </si>
  <si>
    <t>Botswana</t>
  </si>
  <si>
    <t>North Macedonia</t>
  </si>
  <si>
    <t>Afghanistan</t>
  </si>
  <si>
    <t>Yemen</t>
  </si>
  <si>
    <t>Tajikistan</t>
  </si>
  <si>
    <t>Laos</t>
  </si>
  <si>
    <t>North Korea</t>
  </si>
  <si>
    <t>Bahamas</t>
  </si>
  <si>
    <t>Mauritius</t>
  </si>
  <si>
    <t>Congo</t>
  </si>
  <si>
    <t>Brunei</t>
  </si>
  <si>
    <t>Malawi</t>
  </si>
  <si>
    <t>Rwanda</t>
  </si>
  <si>
    <t>Namibia</t>
  </si>
  <si>
    <t>Palestine</t>
  </si>
  <si>
    <t>Equatorial Guinea</t>
  </si>
  <si>
    <t>Somalia</t>
  </si>
  <si>
    <t>Kosovo</t>
  </si>
  <si>
    <t>Channel Islands</t>
  </si>
  <si>
    <t>Mauritania</t>
  </si>
  <si>
    <t>Togo</t>
  </si>
  <si>
    <t>Monaco</t>
  </si>
  <si>
    <t>New Caledonia</t>
  </si>
  <si>
    <t>Liechtenstein</t>
  </si>
  <si>
    <t>Montenegro</t>
  </si>
  <si>
    <t>Bermuda</t>
  </si>
  <si>
    <t>Sierra Leone</t>
  </si>
  <si>
    <t>Maldives</t>
  </si>
  <si>
    <t>Barbados</t>
  </si>
  <si>
    <t>Isle of Man</t>
  </si>
  <si>
    <t>Cayman Islands</t>
  </si>
  <si>
    <t>Burundi</t>
  </si>
  <si>
    <t>Guam</t>
  </si>
  <si>
    <t>French Polynesia</t>
  </si>
  <si>
    <t>Fiji</t>
  </si>
  <si>
    <t>Eswatini</t>
  </si>
  <si>
    <t>Liberia</t>
  </si>
  <si>
    <t>South Sudan</t>
  </si>
  <si>
    <t>U.S. Virgin Islands</t>
  </si>
  <si>
    <t>Djibouti</t>
  </si>
  <si>
    <t>Suriname</t>
  </si>
  <si>
    <t>Andorra</t>
  </si>
  <si>
    <t>Aruba</t>
  </si>
  <si>
    <t>Faroe Islands</t>
  </si>
  <si>
    <t>Bhutan</t>
  </si>
  <si>
    <t>Greenland</t>
  </si>
  <si>
    <t>Central African Republic</t>
  </si>
  <si>
    <t>Belize</t>
  </si>
  <si>
    <t>Curaçao</t>
  </si>
  <si>
    <t>Cape Verde</t>
  </si>
  <si>
    <t>Saint Lucia</t>
  </si>
  <si>
    <t>Gambia</t>
  </si>
  <si>
    <t>Zanzibar</t>
  </si>
  <si>
    <t>Guinea-Bissau</t>
  </si>
  <si>
    <t>Lesotho</t>
  </si>
  <si>
    <t>Antigua and Barbuda</t>
  </si>
  <si>
    <t>Eritrea</t>
  </si>
  <si>
    <t>San Marino</t>
  </si>
  <si>
    <t>Seychelles</t>
  </si>
  <si>
    <t>Timor-Leste</t>
  </si>
  <si>
    <t>Solomon Islands</t>
  </si>
  <si>
    <t>Turks and Caicos Islands</t>
  </si>
  <si>
    <t>Sint Maarten</t>
  </si>
  <si>
    <t>Comoros</t>
  </si>
  <si>
    <t>British Virgin Islands</t>
  </si>
  <si>
    <t>Grenada</t>
  </si>
  <si>
    <t>Samoa</t>
  </si>
  <si>
    <t>Saint Vincent and the Grenadines</t>
  </si>
  <si>
    <t>Saint Kitts and Nevis</t>
  </si>
  <si>
    <t>Vanuatu</t>
  </si>
  <si>
    <t>Northern Mariana Islands</t>
  </si>
  <si>
    <t>São Tomé and Príncipe</t>
  </si>
  <si>
    <t>American Samoa</t>
  </si>
  <si>
    <t>Dominica</t>
  </si>
  <si>
    <t>Saint Martin</t>
  </si>
  <si>
    <t>Tonga</t>
  </si>
  <si>
    <t>Micronesia</t>
  </si>
  <si>
    <t>Anguilla</t>
  </si>
  <si>
    <t>Cook Islands</t>
  </si>
  <si>
    <t>Palau</t>
  </si>
  <si>
    <t>Kiribati</t>
  </si>
  <si>
    <t>Marshall Islands</t>
  </si>
  <si>
    <t>Nauru</t>
  </si>
  <si>
    <t>Montserrat</t>
  </si>
  <si>
    <t>Tuvalu</t>
  </si>
  <si>
    <t>World Bank (2024)</t>
  </si>
  <si>
    <t>IMF (2025)</t>
  </si>
  <si>
    <t>United Nations (2023)</t>
  </si>
  <si>
    <t>Row Labels</t>
  </si>
  <si>
    <t>Grand Total</t>
  </si>
  <si>
    <t>13,711 .00</t>
  </si>
  <si>
    <t>28,280 .00</t>
  </si>
  <si>
    <t>98,964 .00</t>
  </si>
  <si>
    <t>Sum of World Bank (2024)</t>
  </si>
  <si>
    <t>Sum of United Nations (2023)</t>
  </si>
  <si>
    <t>avera</t>
  </si>
  <si>
    <t>Project Goal: Compare GDP estimates from major global institutions.
Data Source: Live Web Scrape from Wikipedia (Dynamic).
Tools Used: Power Query (ETL), Pivot Tables.
Creator: Oyindamola Adekoleoye (Chemical Engineering / Data Analyst).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</si>
</sst>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 wrapText="1"/>
    </xf>
    <xf numFmtId="3" fontId="0" fillId="0" borderId="0" xfId="0" applyNumberForma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5">
    <dxf>
      <numFmt numFmtId="170" formatCode="_-[$$-409]* #,##0_ ;_-[$$-409]* \-#,##0\ ;_-[$$-409]* &quot;-&quot;??_ ;_-@_ "/>
      <alignment horizontal="center" vertical="bottom" textRotation="0" wrapText="0" indent="0" justifyLastLine="0" shrinkToFit="0" readingOrder="0"/>
    </dxf>
    <dxf>
      <numFmt numFmtId="170" formatCode="_-[$$-409]* #,##0_ ;_-[$$-409]* \-#,##0\ ;_-[$$-409]* &quot;-&quot;??_ ;_-@_ "/>
      <alignment horizontal="center" vertical="bottom" textRotation="0" wrapText="0" indent="0" justifyLastLine="0" shrinkToFit="0" readingOrder="0"/>
    </dxf>
    <dxf>
      <numFmt numFmtId="170" formatCode="_-[$$-409]* #,##0_ ;_-[$$-409]* \-#,##0\ ;_-[$$-409]* &quot;-&quot;??_ ;_-@_ "/>
      <alignment horizontal="center" vertical="bottom" textRotation="0" wrapText="0" indent="0" justifyLastLine="0" shrinkToFit="0" readingOrder="0"/>
    </dxf>
    <dxf>
      <numFmt numFmtId="170" formatCode="_-[$$-409]* #,##0_ ;_-[$$-409]* \-#,##0\ ;_-[$$-409]* &quot;-&quot;??_ ;_-@_ 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[GDP(2024).xlsx]Dashboard!PivotTable1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GDP Estimates: UN (2023) vs World Bank (2024)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Sum of United Nations (2023)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Dashboard!$A$4:$A$8</c:f>
              <c:strCache>
                <c:ptCount val="4"/>
                <c:pt idx="0">
                  <c:v>China</c:v>
                </c:pt>
                <c:pt idx="1">
                  <c:v>Germany</c:v>
                </c:pt>
                <c:pt idx="2">
                  <c:v>United Kingdom</c:v>
                </c:pt>
                <c:pt idx="3">
                  <c:v>United States</c:v>
                </c:pt>
              </c:strCache>
            </c:strRef>
          </c:cat>
          <c:val>
            <c:numRef>
              <c:f>Dashboard!$B$4:$B$8</c:f>
              <c:numCache>
                <c:formatCode>#,##0</c:formatCode>
                <c:ptCount val="4"/>
                <c:pt idx="0">
                  <c:v>17794782</c:v>
                </c:pt>
                <c:pt idx="1">
                  <c:v>4525704</c:v>
                </c:pt>
                <c:pt idx="2">
                  <c:v>3380855</c:v>
                </c:pt>
                <c:pt idx="3">
                  <c:v>27720700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C-479A-855D-2439AB83E01B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Sum of World Bank (2024)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Dashboard!$A$4:$A$8</c:f>
              <c:strCache>
                <c:ptCount val="4"/>
                <c:pt idx="0">
                  <c:v>China</c:v>
                </c:pt>
                <c:pt idx="1">
                  <c:v>Germany</c:v>
                </c:pt>
                <c:pt idx="2">
                  <c:v>United Kingdom</c:v>
                </c:pt>
                <c:pt idx="3">
                  <c:v>United States</c:v>
                </c:pt>
              </c:strCache>
            </c:strRef>
          </c:cat>
          <c:val>
            <c:numRef>
              <c:f>Dashboard!$C$4:$C$8</c:f>
              <c:numCache>
                <c:formatCode>#,##0</c:formatCode>
                <c:ptCount val="4"/>
                <c:pt idx="0">
                  <c:v>18743803</c:v>
                </c:pt>
                <c:pt idx="1">
                  <c:v>4659929</c:v>
                </c:pt>
                <c:pt idx="2">
                  <c:v>3643834</c:v>
                </c:pt>
                <c:pt idx="3">
                  <c:v>29184890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C-479A-855D-2439AB83E01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460175"/>
        <c:axId val="1339469327"/>
      </c:barChart>
      <c:catAx>
        <c:axId val="133946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39469327"/>
        <c:crosses val="autoZero"/>
        <c:auto val="1"/>
        <c:lblAlgn val="ctr"/>
        <c:lblOffset val="100"/>
        <c:noMultiLvlLbl val="0"/>
      </c:catAx>
      <c:valAx>
        <c:axId val="133946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3946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2</xdr:row>
      <xdr:rowOff>107950</xdr:rowOff>
    </xdr:from>
    <xdr:to>
      <xdr:col>8</xdr:col>
      <xdr:colOff>69850</xdr:colOff>
      <xdr:row>9</xdr:row>
      <xdr:rowOff>63500</xdr:rowOff>
    </xdr:to>
    <xdr:sp macro="" textlink="">
      <xdr:nvSpPr>
        <xdr:cNvPr id="3" name="Ova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C07969-9D1B-B2AD-7C4A-599D5106AD15}"/>
            </a:ext>
          </a:extLst>
        </xdr:cNvPr>
        <xdr:cNvSpPr/>
      </xdr:nvSpPr>
      <xdr:spPr>
        <a:xfrm>
          <a:off x="3340100" y="476250"/>
          <a:ext cx="1784350" cy="12446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200" b="1"/>
            <a:t>View</a:t>
          </a:r>
          <a:r>
            <a:rPr lang="en-US" sz="1200" b="1" baseline="0"/>
            <a:t> Dashboard</a:t>
          </a:r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143565</xdr:colOff>
      <xdr:row>0</xdr:row>
      <xdr:rowOff>138596</xdr:rowOff>
    </xdr:from>
    <xdr:to>
      <xdr:col>15</xdr:col>
      <xdr:colOff>220869</xdr:colOff>
      <xdr:row>15</xdr:row>
      <xdr:rowOff>148535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CAFC96-9525-5880-F373-F71F38558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471830092596" createdVersion="8" refreshedVersion="8" minRefreshableVersion="3" recordCount="224" xr:uid="{04DB2B33-1B42-448B-B68B-E65A54E72969}">
  <cacheSource type="worksheet">
    <worksheetSource name="GDP_Data"/>
  </cacheSource>
  <cacheFields count="4">
    <cacheField name="Country/Territory" numFmtId="0">
      <sharedItems containsBlank="1" count="224">
        <s v="Taiwan"/>
        <s v="Channel Islands"/>
        <s v="Isle of Man"/>
        <s v="Guam"/>
        <s v="U.S. Virgin Islands"/>
        <s v="Faroe Islands"/>
        <s v="Northern Mariana Islands"/>
        <s v="American Samoa"/>
        <s v="Saint Martin"/>
        <s v="Samoa"/>
        <s v="Saint Kitts and Nevis"/>
        <s v="Saudi Arabia"/>
        <s v="Saint Vincent and the Grenadines"/>
        <s v="Turkey"/>
        <s v="Vanuatu"/>
        <s v="Netherlands"/>
        <s v="Grenada"/>
        <s v="Indonesia"/>
        <s v="Turks and Caicos Islands"/>
        <s v="Comoros"/>
        <s v="British Virgin Islands"/>
        <s v="Spain"/>
        <s v="Solomon Islands"/>
        <s v="Sint Maarten"/>
        <s v="Australia"/>
        <s v="Mexico"/>
        <s v="South Korea"/>
        <s v="Guinea-Bissau"/>
        <s v="San Marino"/>
        <s v="New Caledonia"/>
        <s v="Kosovo"/>
        <s v="Mauritania"/>
        <s v="Somalia"/>
        <s v="World"/>
        <s v="Bulgaria"/>
        <s v="Guatemala"/>
        <s v="Oman"/>
        <s v="Kenya"/>
        <s v="Puerto Rico"/>
        <s v="Ecuador"/>
        <s v="Tajikistan"/>
        <s v="Equatorial Guinea"/>
        <s v="Namibia"/>
        <s v="Malawi"/>
        <s v="Dominican Republic"/>
        <s v="Kyrgyzstan"/>
        <s v="Slovakia"/>
        <s v="Venezuela"/>
        <s v="Rwanda"/>
        <s v="Congo"/>
        <s v="Bahamas"/>
        <s v="Mauritius"/>
        <s v="Morocco"/>
        <s v="Laos"/>
        <s v="Brunei"/>
        <s v="North Macedonia"/>
        <s v="Madagascar"/>
        <s v="Ethiopia"/>
        <s v="Afghanistan"/>
        <s v="North Korea"/>
        <s v="Moldova"/>
        <s v="Guyana"/>
        <s v="Niger"/>
        <s v="Kuwait"/>
        <s v="Palestine"/>
        <s v="Chad"/>
        <s v="China"/>
        <s v="Nicaragua"/>
        <s v="Nauru"/>
        <s v="Ukraine"/>
        <s v="Nigeria"/>
        <s v="Botswana"/>
        <s v="Jamaica"/>
        <s v="Benin"/>
        <s v="Haiti"/>
        <s v="Mongolia"/>
        <s v="Russia"/>
        <s v="Antigua and Barbuda"/>
        <s v="Timor-Leste"/>
        <s v="Lesotho"/>
        <s v="Seychelles"/>
        <s v="Canada"/>
        <s v="Brazil"/>
        <s v="Eritrea"/>
        <s v="Italy"/>
        <s v="Gambia"/>
        <s v="Saint Lucia"/>
        <s v="Zanzibar"/>
        <s v="Central African Republic"/>
        <s v="Cape Verde"/>
        <s v="Gabon"/>
        <s v="Burkina Faso"/>
        <s v="Mali"/>
        <s v="Mozambique"/>
        <s v="Cuba"/>
        <s v="Hungary"/>
        <s v="Qatar"/>
        <s v="Malta"/>
        <s v="Albania"/>
        <s v="Guinea"/>
        <s v="Iraq"/>
        <s v="Armenia"/>
        <s v="Greece"/>
        <s v="Algeria"/>
        <s v="Trinidad and Tobago"/>
        <s v="New Zealand"/>
        <s v="Kazakhstan"/>
        <s v="Peru"/>
        <s v="Lebanon"/>
        <s v="Bosnia and Herzegovina"/>
        <s v="Zambia"/>
        <s v="United States"/>
        <s v="Marshall Islands"/>
        <s v="Palau"/>
        <s v="Kiribati"/>
        <s v="Portugal"/>
        <s v="Syria"/>
        <s v="Finland"/>
        <s v="Bhutan"/>
        <s v="Greenland"/>
        <s v="France"/>
        <s v="Belize"/>
        <s v="Curaçao"/>
        <s v="United Kingdom"/>
        <s v="India"/>
        <s v="Aruba"/>
        <s v="Suriname"/>
        <s v="Andorra"/>
        <s v="Burundi"/>
        <s v="Zimbabwe"/>
        <s v="Senegal"/>
        <s v="Georgia"/>
        <s v="Papua New Guinea"/>
        <s v="Iceland"/>
        <s v="Cyprus"/>
        <s v="Egypt"/>
        <s v="Chile"/>
        <s v="Pakistan"/>
        <s v="El Salvador"/>
        <s v="Sudan"/>
        <s v="Honduras"/>
        <s v="Czech Republic"/>
        <s v="Romania"/>
        <s v="Colombia"/>
        <s v="Cook Islands"/>
        <s v="South Africa"/>
        <s v="Hong Kong"/>
        <s v="Malaysia"/>
        <s v="Djibouti"/>
        <s v="Japan"/>
        <s v="Germany"/>
        <s v="Eswatini"/>
        <s v="South Sudan"/>
        <s v="Nepal"/>
        <s v="Iran"/>
        <s v="Denmark"/>
        <s v="Estonia"/>
        <s v="Anguilla"/>
        <s v="Latvia"/>
        <s v="Cambodia"/>
        <s v="Paraguay"/>
        <s v="Bangladesh"/>
        <s v="Vietnam"/>
        <s v="Philippines"/>
        <s v="Libya"/>
        <s v="Bahrain"/>
        <s v="Bolivia"/>
        <s v="Macau"/>
        <s v="Micronesia"/>
        <s v="Tunisia"/>
        <s v="Norway"/>
        <s v="Cameroon"/>
        <s v="Liberia"/>
        <s v="Fiji"/>
        <s v="Jordan"/>
        <s v="Singapore"/>
        <s v="Tonga"/>
        <s v="Uganda"/>
        <s v="Austria"/>
        <s v="Israel"/>
        <s v="United Arab Emirates"/>
        <s v="Thailand"/>
        <s v="Ireland"/>
        <s v="Sweden"/>
        <s v="Turkmenistan"/>
        <s v="French Polynesia"/>
        <s v="Sierra Leone"/>
        <s v="Maldives"/>
        <s v="Barbados"/>
        <s v="Myanmar"/>
        <s v="Belgium"/>
        <s v="Argentina"/>
        <s v="Dominica"/>
        <s v="Tuvalu"/>
        <s v="São Tomé and Príncipe"/>
        <s v="Slovenia"/>
        <s v="DR Congo"/>
        <s v="Cayman Islands"/>
        <s v="Montenegro"/>
        <s v="Liechtenstein"/>
        <s v="Belarus"/>
        <s v="Azerbaijan"/>
        <s v="Serbia"/>
        <s v="Ghana"/>
        <s v="Uruguay"/>
        <s v="Tanzania"/>
        <s v="Ivory Coast"/>
        <s v="Lithuania"/>
        <s v="Bermuda"/>
        <s v="Yemen"/>
        <s v="Montserrat"/>
        <s v="Poland"/>
        <s v="Panama"/>
        <s v="Sri Lanka"/>
        <s v="Croatia"/>
        <s v="Luxembourg"/>
        <s v="Costa Rica"/>
        <s v="Switzerland"/>
        <s v="Togo"/>
        <s v="Monaco"/>
        <s v="Angola"/>
        <s v="Uzbekistan"/>
        <m/>
        <s v="Country/Territory" u="1"/>
      </sharedItems>
    </cacheField>
    <cacheField name="IMF (2025)" numFmtId="170">
      <sharedItems containsBlank="1" containsMixedTypes="1" containsNumber="1" minValue="0" maxValue="117165394"/>
    </cacheField>
    <cacheField name="World Bank (2024)" numFmtId="170">
      <sharedItems containsString="0" containsBlank="1" containsNumber="1" containsInteger="1" minValue="0" maxValue="111326370" count="212">
        <n v="0"/>
        <n v="12508"/>
        <n v="7431"/>
        <n v="6910"/>
        <n v="4672"/>
        <n v="3907"/>
        <n v="1096"/>
        <n v="871"/>
        <n v="649"/>
        <n v="1068"/>
        <n v="1067"/>
        <n v="1237530"/>
        <n v="1157"/>
        <n v="1323255"/>
        <n v="1161"/>
        <n v="1227544"/>
        <n v="1391"/>
        <n v="1396300"/>
        <n v="1745"/>
        <n v="1546"/>
        <n v="1722746"/>
        <n v="1761"/>
        <n v="1735"/>
        <n v="1752193"/>
        <n v="1852723"/>
        <n v="1712793"/>
        <n v="2120"/>
        <n v="1832"/>
        <n v="9623"/>
        <n v="11149"/>
        <n v="10767"/>
        <n v="12109"/>
        <n v="111326370"/>
        <n v="112212"/>
        <n v="113200"/>
        <n v="106943"/>
        <n v="124499"/>
        <n v="125842"/>
        <n v="124676"/>
        <n v="14205"/>
        <n v="12766"/>
        <n v="13372"/>
        <n v="11009"/>
        <n v="124282"/>
        <n v="17478"/>
        <n v="141776"/>
        <n v="14252"/>
        <n v="15720"/>
        <n v="15833"/>
        <n v="14953"/>
        <n v="154431"/>
        <n v="16503"/>
        <n v="15463"/>
        <n v="16685"/>
        <n v="17421"/>
        <n v="163698"/>
        <n v="17152"/>
        <n v="18200"/>
        <n v="24836"/>
        <n v="19538"/>
        <n v="160227"/>
        <n v="13711"/>
        <n v="20626"/>
        <n v="18743803"/>
        <n v="19694"/>
        <n v="160"/>
        <n v="190741"/>
        <n v="188271"/>
        <n v="19401"/>
        <n v="19930"/>
        <n v="21483"/>
        <n v="25224"/>
        <n v="23586"/>
        <n v="2173836"/>
        <n v="2225"/>
        <n v="1881"/>
        <n v="2272"/>
        <n v="2167"/>
        <n v="2241253"/>
        <n v="2179412"/>
        <n v="2372775"/>
        <n v="2508"/>
        <n v="2549"/>
        <n v="2752"/>
        <n v="2768"/>
        <n v="20867"/>
        <n v="23250"/>
        <n v="26588"/>
        <n v="22417"/>
        <n v="217905"/>
        <n v="222905"/>
        <n v="24322"/>
        <n v="27178"/>
        <n v="25334"/>
        <n v="279641"/>
        <n v="25787"/>
        <n v="257145"/>
        <n v="263620"/>
        <n v="26429"/>
        <n v="260236"/>
        <n v="288406"/>
        <n v="289222"/>
        <n v="20079"/>
        <n v="28343"/>
        <n v="26326"/>
        <n v="29184890"/>
        <n v="280"/>
        <n v="282"/>
        <n v="308"/>
        <n v="308683"/>
        <n v="19993"/>
        <n v="299836"/>
        <n v="3019"/>
        <n v="3327"/>
        <n v="3162079"/>
        <n v="3516"/>
        <n v="3281"/>
        <n v="3643834"/>
        <n v="3912686"/>
        <n v="3649"/>
        <n v="4714"/>
        <n v="4040"/>
        <n v="2162"/>
        <n v="44188"/>
        <n v="32267"/>
        <n v="33776"/>
        <n v="32538"/>
        <n v="33463"/>
        <n v="36333"/>
        <n v="389050"/>
        <n v="330267"/>
        <n v="373072"/>
        <n v="35365"/>
        <n v="49910"/>
        <n v="37094"/>
        <n v="345037"/>
        <n v="382768"/>
        <n v="418542"/>
        <n v="400261"/>
        <n v="407107"/>
        <n v="421972"/>
        <n v="4086"/>
        <n v="4026211"/>
        <n v="4659929"/>
        <n v="4892"/>
        <n v="42914"/>
        <n v="436906"/>
        <n v="429457"/>
        <n v="42765"/>
        <n v="43521"/>
        <n v="46353"/>
        <n v="44458"/>
        <n v="450119"/>
        <n v="476388"/>
        <n v="461618"/>
        <n v="46636"/>
        <n v="47737"/>
        <n v="49668"/>
        <n v="50183"/>
        <n v="471"/>
        <n v="53410"/>
        <n v="483727"/>
        <n v="51327"/>
        <n v="4750"/>
        <n v="5841"/>
        <n v="53352"/>
        <n v="547387"/>
        <n v="509"/>
        <n v="53652"/>
        <n v="521642"/>
        <n v="540380"/>
        <n v="537079"/>
        <n v="526411"/>
        <n v="577389"/>
        <n v="610118"/>
        <n v="64240"/>
        <n v="6402"/>
        <n v="7548"/>
        <n v="6975"/>
        <n v="7165"/>
        <n v="74080"/>
        <n v="664564"/>
        <n v="633267"/>
        <n v="689"/>
        <n v="62"/>
        <n v="764"/>
        <n v="72485"/>
        <n v="70749"/>
        <n v="7139"/>
        <n v="8070"/>
        <n v="8288"/>
        <n v="75962"/>
        <n v="74316"/>
        <n v="89084"/>
        <n v="82825"/>
        <n v="80962"/>
        <n v="78780"/>
        <n v="86538"/>
        <n v="84869"/>
        <n v="8980"/>
        <n v="914696"/>
        <n v="86260"/>
        <n v="98963"/>
        <n v="92526"/>
        <n v="93197"/>
        <n v="95350"/>
        <n v="936564"/>
        <n v="9926"/>
        <n v="9995"/>
        <n v="80397"/>
        <n v="114965"/>
        <m/>
      </sharedItems>
    </cacheField>
    <cacheField name="United Nations (2023)" numFmtId="170">
      <sharedItems containsString="0" containsBlank="1" containsNumber="1" containsInteger="1" minValue="0" maxValue="1008347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n v="884387"/>
    <x v="0"/>
    <m/>
  </r>
  <r>
    <x v="1"/>
    <n v="0"/>
    <x v="1"/>
    <n v="0"/>
  </r>
  <r>
    <x v="2"/>
    <n v="0"/>
    <x v="2"/>
    <n v="0"/>
  </r>
  <r>
    <x v="3"/>
    <n v="0"/>
    <x v="3"/>
    <n v="0"/>
  </r>
  <r>
    <x v="4"/>
    <n v="0"/>
    <x v="4"/>
    <n v="0"/>
  </r>
  <r>
    <x v="5"/>
    <n v="0"/>
    <x v="5"/>
    <n v="0"/>
  </r>
  <r>
    <x v="6"/>
    <n v="0"/>
    <x v="6"/>
    <n v="0"/>
  </r>
  <r>
    <x v="7"/>
    <n v="0"/>
    <x v="7"/>
    <n v="0"/>
  </r>
  <r>
    <x v="8"/>
    <n v="0"/>
    <x v="8"/>
    <n v="0"/>
  </r>
  <r>
    <x v="9"/>
    <n v="1248"/>
    <x v="9"/>
    <n v="1032"/>
  </r>
  <r>
    <x v="10"/>
    <n v="1141"/>
    <x v="10"/>
    <n v="1058"/>
  </r>
  <r>
    <x v="11"/>
    <n v="1268535"/>
    <x v="11"/>
    <n v="1067583"/>
  </r>
  <r>
    <x v="12"/>
    <n v="1238"/>
    <x v="12"/>
    <n v="1091"/>
  </r>
  <r>
    <x v="13"/>
    <n v="1565471"/>
    <x v="13"/>
    <n v="1118253"/>
  </r>
  <r>
    <x v="14"/>
    <n v="1119"/>
    <x v="14"/>
    <n v="1119"/>
  </r>
  <r>
    <x v="15"/>
    <n v="1320635"/>
    <x v="15"/>
    <n v="1154361"/>
  </r>
  <r>
    <x v="16"/>
    <n v="1458"/>
    <x v="16"/>
    <n v="1317"/>
  </r>
  <r>
    <x v="17"/>
    <n v="1443256"/>
    <x v="17"/>
    <n v="1371171"/>
  </r>
  <r>
    <x v="18"/>
    <n v="0"/>
    <x v="18"/>
    <n v="1402"/>
  </r>
  <r>
    <x v="19"/>
    <n v="1613"/>
    <x v="19"/>
    <n v="1448"/>
  </r>
  <r>
    <x v="20"/>
    <n v="0"/>
    <x v="0"/>
    <n v="1506"/>
  </r>
  <r>
    <x v="21"/>
    <n v="1891371"/>
    <x v="20"/>
    <n v="1620091"/>
  </r>
  <r>
    <x v="22"/>
    <n v="1904"/>
    <x v="21"/>
    <n v="1633"/>
  </r>
  <r>
    <x v="23"/>
    <n v="0"/>
    <x v="22"/>
    <n v="1677"/>
  </r>
  <r>
    <x v="24"/>
    <n v="1829508"/>
    <x v="23"/>
    <n v="1775628"/>
  </r>
  <r>
    <x v="25"/>
    <n v="1862740"/>
    <x v="24"/>
    <n v="1793799"/>
  </r>
  <r>
    <x v="26"/>
    <n v="1858572"/>
    <x v="25"/>
    <n v="1839058"/>
  </r>
  <r>
    <x v="27"/>
    <n v="2474"/>
    <x v="26"/>
    <n v="1841"/>
  </r>
  <r>
    <x v="28"/>
    <n v="2241"/>
    <x v="27"/>
    <n v="1987"/>
  </r>
  <r>
    <x v="29"/>
    <n v="0"/>
    <x v="28"/>
    <n v="10140"/>
  </r>
  <r>
    <x v="30"/>
    <n v="12672"/>
    <x v="29"/>
    <n v="10467"/>
  </r>
  <r>
    <x v="31"/>
    <n v="11953"/>
    <x v="30"/>
    <n v="10652"/>
  </r>
  <r>
    <x v="32"/>
    <n v="12944"/>
    <x v="31"/>
    <n v="10969"/>
  </r>
  <r>
    <x v="33"/>
    <n v="117165394"/>
    <x v="32"/>
    <n v="100834796"/>
  </r>
  <r>
    <x v="34"/>
    <n v="127924"/>
    <x v="33"/>
    <n v="102397"/>
  </r>
  <r>
    <x v="35"/>
    <n v="120850"/>
    <x v="34"/>
    <n v="104451"/>
  </r>
  <r>
    <x v="36"/>
    <n v="105190"/>
    <x v="35"/>
    <n v="105896"/>
  </r>
  <r>
    <x v="37"/>
    <n v="136014"/>
    <x v="36"/>
    <n v="108039"/>
  </r>
  <r>
    <x v="38"/>
    <n v="126546"/>
    <x v="37"/>
    <n v="117902"/>
  </r>
  <r>
    <x v="39"/>
    <n v="130529"/>
    <x v="38"/>
    <n v="118845"/>
  </r>
  <r>
    <x v="40"/>
    <n v="17032"/>
    <x v="39"/>
    <n v="12061"/>
  </r>
  <r>
    <x v="41"/>
    <n v="13467"/>
    <x v="40"/>
    <n v="12117"/>
  </r>
  <r>
    <x v="42"/>
    <n v="14686"/>
    <x v="41"/>
    <n v="12351"/>
  </r>
  <r>
    <x v="43"/>
    <n v="14975"/>
    <x v="42"/>
    <n v="12627"/>
  </r>
  <r>
    <x v="44"/>
    <n v="129748"/>
    <x v="43"/>
    <n v="121444"/>
  </r>
  <r>
    <x v="45"/>
    <n v="20160"/>
    <x v="44"/>
    <n v="13988"/>
  </r>
  <r>
    <x v="46"/>
    <n v="154587"/>
    <x v="45"/>
    <n v="132908"/>
  </r>
  <r>
    <x v="47"/>
    <n v="82767"/>
    <x v="0"/>
    <n v="139395"/>
  </r>
  <r>
    <x v="48"/>
    <n v="14771"/>
    <x v="46"/>
    <n v="14097"/>
  </r>
  <r>
    <x v="49"/>
    <n v="15695"/>
    <x v="47"/>
    <n v="14167"/>
  </r>
  <r>
    <x v="50"/>
    <n v="16393"/>
    <x v="48"/>
    <n v="14338"/>
  </r>
  <r>
    <x v="51"/>
    <n v="15730"/>
    <x v="49"/>
    <n v="14397"/>
  </r>
  <r>
    <x v="52"/>
    <n v="179612"/>
    <x v="50"/>
    <n v="144438"/>
  </r>
  <r>
    <x v="53"/>
    <n v="16934"/>
    <x v="51"/>
    <n v="15008"/>
  </r>
  <r>
    <x v="54"/>
    <n v="15565"/>
    <x v="52"/>
    <n v="15128"/>
  </r>
  <r>
    <x v="55"/>
    <n v="18783"/>
    <x v="53"/>
    <n v="15764"/>
  </r>
  <r>
    <x v="56"/>
    <n v="19377"/>
    <x v="54"/>
    <n v="15870"/>
  </r>
  <r>
    <x v="57"/>
    <n v="109492"/>
    <x v="55"/>
    <n v="159746"/>
  </r>
  <r>
    <x v="58"/>
    <n v="18080"/>
    <x v="56"/>
    <n v="16417"/>
  </r>
  <r>
    <x v="59"/>
    <n v="0"/>
    <x v="0"/>
    <n v="16447"/>
  </r>
  <r>
    <x v="60"/>
    <n v="19620"/>
    <x v="57"/>
    <n v="16542"/>
  </r>
  <r>
    <x v="61"/>
    <n v="25064"/>
    <x v="58"/>
    <n v="16683"/>
  </r>
  <r>
    <x v="62"/>
    <n v="22969"/>
    <x v="59"/>
    <n v="16819"/>
  </r>
  <r>
    <x v="63"/>
    <n v="157469"/>
    <x v="60"/>
    <n v="163705"/>
  </r>
  <r>
    <x v="64"/>
    <s v="13,711 .00"/>
    <x v="61"/>
    <n v="17396"/>
  </r>
  <r>
    <x v="65"/>
    <n v="21592"/>
    <x v="62"/>
    <n v="17643"/>
  </r>
  <r>
    <x v="66"/>
    <n v="19398577"/>
    <x v="63"/>
    <n v="17794782"/>
  </r>
  <r>
    <x v="67"/>
    <n v="20689"/>
    <x v="64"/>
    <n v="17829"/>
  </r>
  <r>
    <x v="68"/>
    <n v="172"/>
    <x v="65"/>
    <n v="176"/>
  </r>
  <r>
    <x v="69"/>
    <n v="209713"/>
    <x v="66"/>
    <n v="178757"/>
  </r>
  <r>
    <x v="70"/>
    <n v="285003"/>
    <x v="67"/>
    <n v="187760"/>
  </r>
  <r>
    <x v="71"/>
    <n v="19186"/>
    <x v="68"/>
    <n v="19396"/>
  </r>
  <r>
    <x v="72"/>
    <n v="23137"/>
    <x v="69"/>
    <n v="19423"/>
  </r>
  <r>
    <x v="73"/>
    <n v="24402"/>
    <x v="70"/>
    <n v="19673"/>
  </r>
  <r>
    <x v="74"/>
    <n v="30908"/>
    <x v="71"/>
    <n v="19841"/>
  </r>
  <r>
    <x v="75"/>
    <n v="25105"/>
    <x v="72"/>
    <n v="19872"/>
  </r>
  <r>
    <x v="76"/>
    <n v="2540656"/>
    <x v="73"/>
    <n v="2008419"/>
  </r>
  <r>
    <x v="77"/>
    <n v="2340"/>
    <x v="74"/>
    <n v="2033"/>
  </r>
  <r>
    <x v="78"/>
    <n v="2125"/>
    <x v="75"/>
    <n v="2080"/>
  </r>
  <r>
    <x v="79"/>
    <n v="2390"/>
    <x v="76"/>
    <n v="2118"/>
  </r>
  <r>
    <x v="80"/>
    <n v="2230"/>
    <x v="77"/>
    <n v="2141"/>
  </r>
  <r>
    <x v="81"/>
    <n v="2283599"/>
    <x v="78"/>
    <n v="2142471"/>
  </r>
  <r>
    <x v="82"/>
    <n v="2256910"/>
    <x v="79"/>
    <n v="2191132"/>
  </r>
  <r>
    <x v="83"/>
    <n v="0"/>
    <x v="0"/>
    <n v="2275"/>
  </r>
  <r>
    <x v="84"/>
    <n v="2543677"/>
    <x v="80"/>
    <n v="2300941"/>
  </r>
  <r>
    <x v="85"/>
    <n v="2497"/>
    <x v="81"/>
    <n v="2401"/>
  </r>
  <r>
    <x v="86"/>
    <n v="2659"/>
    <x v="82"/>
    <n v="2430"/>
  </r>
  <r>
    <x v="87"/>
    <n v="0"/>
    <x v="0"/>
    <n v="2483"/>
  </r>
  <r>
    <x v="88"/>
    <n v="3300"/>
    <x v="83"/>
    <n v="2555"/>
  </r>
  <r>
    <x v="89"/>
    <n v="2915"/>
    <x v="84"/>
    <n v="2591"/>
  </r>
  <r>
    <x v="90"/>
    <n v="21455"/>
    <x v="85"/>
    <n v="20056"/>
  </r>
  <r>
    <x v="91"/>
    <n v="26866"/>
    <x v="86"/>
    <n v="20325"/>
  </r>
  <r>
    <x v="92"/>
    <n v="25591"/>
    <x v="87"/>
    <n v="20662"/>
  </r>
  <r>
    <x v="93"/>
    <n v="24726"/>
    <x v="88"/>
    <n v="20954"/>
  </r>
  <r>
    <x v="94"/>
    <n v="0"/>
    <x v="0"/>
    <n v="201986"/>
  </r>
  <r>
    <x v="95"/>
    <n v="247759"/>
    <x v="89"/>
    <n v="212657"/>
  </r>
  <r>
    <x v="96"/>
    <n v="222119"/>
    <x v="90"/>
    <n v="213003"/>
  </r>
  <r>
    <x v="97"/>
    <n v="27745"/>
    <x v="91"/>
    <n v="22212"/>
  </r>
  <r>
    <x v="98"/>
    <n v="29939"/>
    <x v="92"/>
    <n v="22978"/>
  </r>
  <r>
    <x v="99"/>
    <n v="27515"/>
    <x v="93"/>
    <n v="23006"/>
  </r>
  <r>
    <x v="100"/>
    <n v="265455"/>
    <x v="94"/>
    <n v="232107"/>
  </r>
  <r>
    <x v="101"/>
    <n v="27859"/>
    <x v="95"/>
    <n v="24219"/>
  </r>
  <r>
    <x v="102"/>
    <n v="282019"/>
    <x v="96"/>
    <n v="243498"/>
  </r>
  <r>
    <x v="103"/>
    <n v="288013"/>
    <x v="97"/>
    <n v="247626"/>
  </r>
  <r>
    <x v="104"/>
    <n v="26002"/>
    <x v="98"/>
    <n v="25489"/>
  </r>
  <r>
    <x v="105"/>
    <n v="262909"/>
    <x v="99"/>
    <n v="252176"/>
  </r>
  <r>
    <x v="106"/>
    <n v="300052"/>
    <x v="100"/>
    <n v="264293"/>
  </r>
  <r>
    <x v="107"/>
    <n v="318480"/>
    <x v="101"/>
    <n v="267603"/>
  </r>
  <r>
    <x v="108"/>
    <s v="28,280 .00"/>
    <x v="102"/>
    <n v="27464"/>
  </r>
  <r>
    <x v="109"/>
    <n v="33237"/>
    <x v="103"/>
    <n v="27515"/>
  </r>
  <r>
    <x v="110"/>
    <n v="29369"/>
    <x v="104"/>
    <n v="27578"/>
  </r>
  <r>
    <x v="111"/>
    <n v="30615743"/>
    <x v="105"/>
    <n v="27720700"/>
  </r>
  <r>
    <x v="112"/>
    <n v="302"/>
    <x v="106"/>
    <n v="270"/>
  </r>
  <r>
    <x v="113"/>
    <n v="341"/>
    <x v="107"/>
    <n v="282"/>
  </r>
  <r>
    <x v="114"/>
    <n v="321"/>
    <x v="108"/>
    <n v="289"/>
  </r>
  <r>
    <x v="115"/>
    <n v="337936"/>
    <x v="109"/>
    <n v="289114"/>
  </r>
  <r>
    <x v="116"/>
    <n v="0"/>
    <x v="110"/>
    <n v="29028"/>
  </r>
  <r>
    <x v="117"/>
    <n v="314724"/>
    <x v="111"/>
    <n v="295532"/>
  </r>
  <r>
    <x v="118"/>
    <n v="3408"/>
    <x v="112"/>
    <n v="3019"/>
  </r>
  <r>
    <x v="119"/>
    <n v="0"/>
    <x v="113"/>
    <n v="3041"/>
  </r>
  <r>
    <x v="120"/>
    <n v="3361557"/>
    <x v="114"/>
    <n v="3051832"/>
  </r>
  <r>
    <x v="121"/>
    <n v="3297"/>
    <x v="115"/>
    <n v="3079"/>
  </r>
  <r>
    <x v="122"/>
    <n v="0"/>
    <x v="116"/>
    <n v="3281"/>
  </r>
  <r>
    <x v="123"/>
    <n v="3958780"/>
    <x v="117"/>
    <n v="3380855"/>
  </r>
  <r>
    <x v="124"/>
    <n v="4125213"/>
    <x v="118"/>
    <n v="3575778"/>
  </r>
  <r>
    <x v="125"/>
    <n v="4319"/>
    <x v="119"/>
    <n v="3649"/>
  </r>
  <r>
    <x v="126"/>
    <n v="4496"/>
    <x v="120"/>
    <n v="3759"/>
  </r>
  <r>
    <x v="127"/>
    <n v="4408"/>
    <x v="121"/>
    <n v="3785"/>
  </r>
  <r>
    <x v="128"/>
    <n v="7025"/>
    <x v="122"/>
    <n v="3960"/>
  </r>
  <r>
    <x v="129"/>
    <n v="53310"/>
    <x v="123"/>
    <n v="30368"/>
  </r>
  <r>
    <x v="130"/>
    <n v="36839"/>
    <x v="124"/>
    <n v="30408"/>
  </r>
  <r>
    <x v="131"/>
    <n v="37403"/>
    <x v="125"/>
    <n v="30536"/>
  </r>
  <r>
    <x v="132"/>
    <n v="32714"/>
    <x v="126"/>
    <n v="31020"/>
  </r>
  <r>
    <x v="133"/>
    <n v="38386"/>
    <x v="127"/>
    <n v="31325"/>
  </r>
  <r>
    <x v="134"/>
    <n v="39943"/>
    <x v="128"/>
    <n v="33887"/>
  </r>
  <r>
    <x v="135"/>
    <n v="349264"/>
    <x v="129"/>
    <n v="331590"/>
  </r>
  <r>
    <x v="136"/>
    <n v="347174"/>
    <x v="130"/>
    <n v="335533"/>
  </r>
  <r>
    <x v="137"/>
    <n v="410495"/>
    <x v="131"/>
    <n v="337900"/>
  </r>
  <r>
    <x v="138"/>
    <n v="36587"/>
    <x v="132"/>
    <n v="34016"/>
  </r>
  <r>
    <x v="139"/>
    <n v="35897"/>
    <x v="133"/>
    <n v="34021"/>
  </r>
  <r>
    <x v="140"/>
    <n v="39445"/>
    <x v="134"/>
    <n v="34401"/>
  </r>
  <r>
    <x v="141"/>
    <n v="383384"/>
    <x v="135"/>
    <n v="343208"/>
  </r>
  <r>
    <x v="142"/>
    <n v="422508"/>
    <x v="136"/>
    <n v="350776"/>
  </r>
  <r>
    <x v="143"/>
    <n v="438121"/>
    <x v="137"/>
    <n v="363540"/>
  </r>
  <r>
    <x v="144"/>
    <n v="0"/>
    <x v="0"/>
    <n v="366"/>
  </r>
  <r>
    <x v="145"/>
    <n v="426383"/>
    <x v="138"/>
    <n v="377782"/>
  </r>
  <r>
    <x v="146"/>
    <n v="428233"/>
    <x v="139"/>
    <n v="380812"/>
  </r>
  <r>
    <x v="147"/>
    <n v="470572"/>
    <x v="140"/>
    <n v="399649"/>
  </r>
  <r>
    <x v="148"/>
    <n v="4613"/>
    <x v="141"/>
    <n v="4000"/>
  </r>
  <r>
    <x v="149"/>
    <n v="4279828"/>
    <x v="142"/>
    <n v="4204495"/>
  </r>
  <r>
    <x v="150"/>
    <n v="5013574"/>
    <x v="143"/>
    <n v="4525704"/>
  </r>
  <r>
    <x v="151"/>
    <n v="5201"/>
    <x v="144"/>
    <n v="4574"/>
  </r>
  <r>
    <x v="152"/>
    <n v="4979"/>
    <x v="0"/>
    <n v="4629"/>
  </r>
  <r>
    <x v="153"/>
    <n v="45513"/>
    <x v="145"/>
    <n v="40484"/>
  </r>
  <r>
    <x v="154"/>
    <n v="356513"/>
    <x v="146"/>
    <n v="401596"/>
  </r>
  <r>
    <x v="155"/>
    <n v="459612"/>
    <x v="147"/>
    <n v="407092"/>
  </r>
  <r>
    <x v="156"/>
    <n v="46763"/>
    <x v="148"/>
    <n v="41291"/>
  </r>
  <r>
    <x v="157"/>
    <n v="0"/>
    <x v="0"/>
    <n v="416"/>
  </r>
  <r>
    <x v="158"/>
    <n v="47880"/>
    <x v="149"/>
    <n v="42248"/>
  </r>
  <r>
    <x v="159"/>
    <n v="48802"/>
    <x v="150"/>
    <n v="42824"/>
  </r>
  <r>
    <x v="160"/>
    <n v="47398"/>
    <x v="151"/>
    <n v="42955"/>
  </r>
  <r>
    <x v="161"/>
    <n v="475011"/>
    <x v="152"/>
    <n v="422431"/>
  </r>
  <r>
    <x v="162"/>
    <n v="484726"/>
    <x v="153"/>
    <n v="429717"/>
  </r>
  <r>
    <x v="163"/>
    <n v="494158"/>
    <x v="154"/>
    <n v="437146"/>
  </r>
  <r>
    <x v="164"/>
    <n v="47941"/>
    <x v="155"/>
    <n v="44030"/>
  </r>
  <r>
    <x v="165"/>
    <n v="47391"/>
    <x v="156"/>
    <n v="44662"/>
  </r>
  <r>
    <x v="166"/>
    <n v="57086"/>
    <x v="157"/>
    <n v="45135"/>
  </r>
  <r>
    <x v="167"/>
    <n v="52379"/>
    <x v="158"/>
    <n v="45803"/>
  </r>
  <r>
    <x v="168"/>
    <n v="495"/>
    <x v="159"/>
    <n v="460"/>
  </r>
  <r>
    <x v="169"/>
    <n v="59069"/>
    <x v="160"/>
    <n v="48541"/>
  </r>
  <r>
    <x v="170"/>
    <n v="517102"/>
    <x v="161"/>
    <n v="485311"/>
  </r>
  <r>
    <x v="171"/>
    <n v="60577"/>
    <x v="162"/>
    <n v="49279"/>
  </r>
  <r>
    <x v="172"/>
    <n v="5182"/>
    <x v="163"/>
    <n v="5039"/>
  </r>
  <r>
    <x v="173"/>
    <n v="6336"/>
    <x v="164"/>
    <n v="5442"/>
  </r>
  <r>
    <x v="174"/>
    <n v="56157"/>
    <x v="165"/>
    <n v="50814"/>
  </r>
  <r>
    <x v="175"/>
    <n v="574185"/>
    <x v="166"/>
    <n v="501428"/>
  </r>
  <r>
    <x v="176"/>
    <n v="587"/>
    <x v="167"/>
    <n v="508"/>
  </r>
  <r>
    <x v="177"/>
    <n v="64993"/>
    <x v="168"/>
    <n v="51023"/>
  </r>
  <r>
    <x v="178"/>
    <n v="566456"/>
    <x v="169"/>
    <n v="511685"/>
  </r>
  <r>
    <x v="179"/>
    <n v="610752"/>
    <x v="170"/>
    <n v="513611"/>
  </r>
  <r>
    <x v="180"/>
    <n v="569097"/>
    <x v="171"/>
    <n v="514130"/>
  </r>
  <r>
    <x v="181"/>
    <n v="558573"/>
    <x v="172"/>
    <n v="514945"/>
  </r>
  <r>
    <x v="182"/>
    <n v="708771"/>
    <x v="173"/>
    <n v="551395"/>
  </r>
  <r>
    <x v="183"/>
    <n v="662318"/>
    <x v="174"/>
    <n v="584960"/>
  </r>
  <r>
    <x v="184"/>
    <n v="72119"/>
    <x v="175"/>
    <n v="59887"/>
  </r>
  <r>
    <x v="185"/>
    <n v="0"/>
    <x v="176"/>
    <n v="6398"/>
  </r>
  <r>
    <x v="186"/>
    <n v="8639"/>
    <x v="177"/>
    <n v="6412"/>
  </r>
  <r>
    <x v="187"/>
    <n v="7676"/>
    <x v="178"/>
    <n v="6591"/>
  </r>
  <r>
    <x v="188"/>
    <n v="7559"/>
    <x v="179"/>
    <n v="6721"/>
  </r>
  <r>
    <x v="189"/>
    <n v="60561"/>
    <x v="180"/>
    <n v="62084"/>
  </r>
  <r>
    <x v="190"/>
    <n v="716980"/>
    <x v="181"/>
    <n v="644783"/>
  </r>
  <r>
    <x v="191"/>
    <n v="683371"/>
    <x v="182"/>
    <n v="646075"/>
  </r>
  <r>
    <x v="192"/>
    <n v="748"/>
    <x v="183"/>
    <n v="651"/>
  </r>
  <r>
    <x v="193"/>
    <n v="58"/>
    <x v="184"/>
    <n v="68"/>
  </r>
  <r>
    <x v="194"/>
    <n v="976"/>
    <x v="185"/>
    <n v="684"/>
  </r>
  <r>
    <x v="195"/>
    <n v="79221"/>
    <x v="186"/>
    <n v="69148"/>
  </r>
  <r>
    <x v="196"/>
    <n v="82262"/>
    <x v="187"/>
    <n v="69338"/>
  </r>
  <r>
    <x v="197"/>
    <n v="0"/>
    <x v="188"/>
    <n v="7127"/>
  </r>
  <r>
    <x v="198"/>
    <n v="9353"/>
    <x v="189"/>
    <n v="7530"/>
  </r>
  <r>
    <x v="199"/>
    <n v="9424"/>
    <x v="190"/>
    <n v="7965"/>
  </r>
  <r>
    <x v="200"/>
    <n v="85739"/>
    <x v="191"/>
    <n v="71857"/>
  </r>
  <r>
    <x v="201"/>
    <n v="76390"/>
    <x v="192"/>
    <n v="72356"/>
  </r>
  <r>
    <x v="202"/>
    <n v="100048"/>
    <x v="193"/>
    <n v="75187"/>
  </r>
  <r>
    <x v="203"/>
    <n v="111963"/>
    <x v="194"/>
    <n v="76370"/>
  </r>
  <r>
    <x v="204"/>
    <n v="84986"/>
    <x v="195"/>
    <n v="77236"/>
  </r>
  <r>
    <x v="205"/>
    <n v="87444"/>
    <x v="196"/>
    <n v="78353"/>
  </r>
  <r>
    <x v="206"/>
    <n v="99207"/>
    <x v="197"/>
    <n v="78789"/>
  </r>
  <r>
    <x v="207"/>
    <n v="95274"/>
    <x v="198"/>
    <n v="79790"/>
  </r>
  <r>
    <x v="208"/>
    <n v="0"/>
    <x v="199"/>
    <n v="8142"/>
  </r>
  <r>
    <x v="209"/>
    <n v="0"/>
    <x v="0"/>
    <n v="8758"/>
  </r>
  <r>
    <x v="210"/>
    <n v="0"/>
    <x v="0"/>
    <n v="80"/>
  </r>
  <r>
    <x v="211"/>
    <n v="1039619"/>
    <x v="200"/>
    <n v="809201"/>
  </r>
  <r>
    <x v="212"/>
    <n v="90408"/>
    <x v="201"/>
    <n v="83382"/>
  </r>
  <r>
    <x v="213"/>
    <s v="98,964 .00"/>
    <x v="202"/>
    <n v="84364"/>
  </r>
  <r>
    <x v="214"/>
    <n v="103901"/>
    <x v="203"/>
    <n v="84391"/>
  </r>
  <r>
    <x v="215"/>
    <n v="100642"/>
    <x v="204"/>
    <n v="85755"/>
  </r>
  <r>
    <x v="216"/>
    <n v="102637"/>
    <x v="205"/>
    <n v="86498"/>
  </r>
  <r>
    <x v="217"/>
    <n v="1002666"/>
    <x v="206"/>
    <n v="894425"/>
  </r>
  <r>
    <x v="218"/>
    <n v="10951"/>
    <x v="207"/>
    <n v="9278"/>
  </r>
  <r>
    <x v="219"/>
    <n v="0"/>
    <x v="208"/>
    <n v="9995"/>
  </r>
  <r>
    <x v="220"/>
    <n v="115167"/>
    <x v="209"/>
    <n v="90552"/>
  </r>
  <r>
    <x v="221"/>
    <n v="137.47999999999999"/>
    <x v="210"/>
    <n v="90889"/>
  </r>
  <r>
    <x v="222"/>
    <m/>
    <x v="211"/>
    <m/>
  </r>
  <r>
    <x v="222"/>
    <m/>
    <x v="2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FE427-BCA9-4B30-BF97-FAF68CEDD540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4">
    <pivotField axis="axisRow" showAll="0">
      <items count="225">
        <item h="1" x="58"/>
        <item h="1" x="98"/>
        <item h="1" x="103"/>
        <item h="1" x="7"/>
        <item h="1" x="127"/>
        <item h="1" x="220"/>
        <item h="1" x="157"/>
        <item h="1" x="77"/>
        <item h="1" x="191"/>
        <item h="1" x="101"/>
        <item h="1" x="125"/>
        <item h="1" x="24"/>
        <item h="1" x="178"/>
        <item h="1" x="201"/>
        <item h="1" x="50"/>
        <item h="1" x="165"/>
        <item h="1" x="161"/>
        <item h="1" x="188"/>
        <item h="1" x="200"/>
        <item h="1" x="190"/>
        <item h="1" x="121"/>
        <item h="1" x="73"/>
        <item h="1" x="208"/>
        <item h="1" x="118"/>
        <item h="1" x="166"/>
        <item h="1" x="109"/>
        <item h="1" x="71"/>
        <item h="1" x="82"/>
        <item h="1" x="20"/>
        <item h="1" x="54"/>
        <item h="1" x="34"/>
        <item h="1" x="91"/>
        <item h="1" x="128"/>
        <item h="1" x="159"/>
        <item h="1" x="171"/>
        <item h="1" x="81"/>
        <item h="1" x="89"/>
        <item h="1" x="197"/>
        <item h="1" x="88"/>
        <item h="1" x="65"/>
        <item h="1" x="1"/>
        <item h="1" x="136"/>
        <item x="66"/>
        <item h="1" x="143"/>
        <item h="1" x="19"/>
        <item h="1" x="49"/>
        <item h="1" x="144"/>
        <item h="1" x="216"/>
        <item h="1" m="1" x="223"/>
        <item h="1" x="214"/>
        <item h="1" x="94"/>
        <item h="1" x="122"/>
        <item h="1" x="134"/>
        <item h="1" x="141"/>
        <item h="1" x="155"/>
        <item h="1" x="148"/>
        <item h="1" x="192"/>
        <item h="1" x="44"/>
        <item h="1" x="196"/>
        <item h="1" x="39"/>
        <item h="1" x="135"/>
        <item h="1" x="138"/>
        <item h="1" x="41"/>
        <item h="1" x="83"/>
        <item h="1" x="156"/>
        <item h="1" x="151"/>
        <item h="1" x="57"/>
        <item h="1" x="5"/>
        <item h="1" x="173"/>
        <item h="1" x="117"/>
        <item h="1" x="120"/>
        <item h="1" x="185"/>
        <item h="1" x="90"/>
        <item h="1" x="85"/>
        <item h="1" x="131"/>
        <item x="150"/>
        <item h="1" x="203"/>
        <item h="1" x="102"/>
        <item h="1" x="119"/>
        <item h="1" x="16"/>
        <item h="1" x="3"/>
        <item h="1" x="35"/>
        <item h="1" x="99"/>
        <item h="1" x="27"/>
        <item h="1" x="61"/>
        <item h="1" x="74"/>
        <item h="1" x="140"/>
        <item h="1" x="146"/>
        <item h="1" x="95"/>
        <item h="1" x="133"/>
        <item h="1" x="124"/>
        <item h="1" x="17"/>
        <item h="1" x="154"/>
        <item h="1" x="100"/>
        <item h="1" x="182"/>
        <item h="1" x="2"/>
        <item h="1" x="179"/>
        <item h="1" x="84"/>
        <item h="1" x="206"/>
        <item h="1" x="72"/>
        <item h="1" x="149"/>
        <item h="1" x="174"/>
        <item h="1" x="106"/>
        <item h="1" x="37"/>
        <item h="1" x="114"/>
        <item h="1" x="30"/>
        <item h="1" x="63"/>
        <item h="1" x="45"/>
        <item h="1" x="53"/>
        <item h="1" x="158"/>
        <item h="1" x="108"/>
        <item h="1" x="79"/>
        <item h="1" x="172"/>
        <item h="1" x="164"/>
        <item h="1" x="199"/>
        <item h="1" x="207"/>
        <item h="1" x="215"/>
        <item h="1" x="167"/>
        <item h="1" x="56"/>
        <item h="1" x="43"/>
        <item h="1" x="147"/>
        <item h="1" x="187"/>
        <item h="1" x="92"/>
        <item h="1" x="97"/>
        <item h="1" x="112"/>
        <item h="1" x="31"/>
        <item h="1" x="51"/>
        <item h="1" x="25"/>
        <item h="1" x="168"/>
        <item h="1" x="60"/>
        <item h="1" x="219"/>
        <item h="1" x="75"/>
        <item h="1" x="198"/>
        <item h="1" x="210"/>
        <item h="1" x="52"/>
        <item h="1" x="93"/>
        <item h="1" x="189"/>
        <item h="1" x="42"/>
        <item h="1" x="68"/>
        <item h="1" x="153"/>
        <item h="1" x="15"/>
        <item h="1" x="29"/>
        <item h="1" x="105"/>
        <item h="1" x="67"/>
        <item h="1" x="62"/>
        <item h="1" x="70"/>
        <item h="1" x="59"/>
        <item h="1" x="55"/>
        <item h="1" x="6"/>
        <item h="1" x="170"/>
        <item h="1" x="36"/>
        <item h="1" x="137"/>
        <item h="1" x="113"/>
        <item h="1" x="64"/>
        <item h="1" x="212"/>
        <item h="1" x="132"/>
        <item h="1" x="160"/>
        <item h="1" x="107"/>
        <item h="1" x="163"/>
        <item h="1" x="211"/>
        <item h="1" x="115"/>
        <item h="1" x="38"/>
        <item h="1" x="96"/>
        <item h="1" x="142"/>
        <item h="1" x="76"/>
        <item h="1" x="48"/>
        <item h="1" x="10"/>
        <item h="1" x="86"/>
        <item h="1" x="8"/>
        <item h="1" x="12"/>
        <item h="1" x="9"/>
        <item h="1" x="28"/>
        <item h="1" x="194"/>
        <item h="1" x="11"/>
        <item h="1" x="130"/>
        <item h="1" x="202"/>
        <item h="1" x="80"/>
        <item h="1" x="186"/>
        <item h="1" x="175"/>
        <item h="1" x="23"/>
        <item h="1" x="46"/>
        <item h="1" x="195"/>
        <item h="1" x="22"/>
        <item h="1" x="32"/>
        <item h="1" x="145"/>
        <item h="1" x="26"/>
        <item h="1" x="152"/>
        <item h="1" x="21"/>
        <item h="1" x="213"/>
        <item h="1" x="139"/>
        <item h="1" x="126"/>
        <item h="1" x="183"/>
        <item h="1" x="217"/>
        <item h="1" x="116"/>
        <item h="1" x="0"/>
        <item h="1" x="40"/>
        <item h="1" x="205"/>
        <item h="1" x="181"/>
        <item h="1" x="78"/>
        <item h="1" x="218"/>
        <item h="1" x="176"/>
        <item h="1" x="104"/>
        <item h="1" x="169"/>
        <item h="1" x="13"/>
        <item h="1" x="184"/>
        <item h="1" x="18"/>
        <item h="1" x="193"/>
        <item h="1" x="4"/>
        <item h="1" x="177"/>
        <item h="1" x="69"/>
        <item h="1" x="180"/>
        <item x="123"/>
        <item x="111"/>
        <item h="1" x="204"/>
        <item h="1" x="221"/>
        <item h="1" x="14"/>
        <item h="1" x="47"/>
        <item h="1" x="162"/>
        <item h="1" x="33"/>
        <item h="1" x="209"/>
        <item h="1" x="110"/>
        <item h="1" x="87"/>
        <item h="1" x="129"/>
        <item h="1" x="222"/>
        <item t="default"/>
      </items>
    </pivotField>
    <pivotField showAll="0"/>
    <pivotField dataField="1" showAll="0">
      <items count="213">
        <item x="0"/>
        <item x="184"/>
        <item x="65"/>
        <item x="106"/>
        <item x="107"/>
        <item x="108"/>
        <item x="159"/>
        <item x="167"/>
        <item x="8"/>
        <item x="183"/>
        <item x="185"/>
        <item x="7"/>
        <item x="10"/>
        <item x="9"/>
        <item x="6"/>
        <item x="12"/>
        <item x="14"/>
        <item x="16"/>
        <item x="19"/>
        <item x="22"/>
        <item x="18"/>
        <item x="21"/>
        <item x="27"/>
        <item x="75"/>
        <item x="26"/>
        <item x="122"/>
        <item x="77"/>
        <item x="74"/>
        <item x="76"/>
        <item x="81"/>
        <item x="82"/>
        <item x="83"/>
        <item x="84"/>
        <item x="112"/>
        <item x="116"/>
        <item x="113"/>
        <item x="115"/>
        <item x="119"/>
        <item x="5"/>
        <item x="121"/>
        <item x="141"/>
        <item x="4"/>
        <item x="120"/>
        <item x="163"/>
        <item x="144"/>
        <item x="164"/>
        <item x="176"/>
        <item x="3"/>
        <item x="178"/>
        <item x="188"/>
        <item x="179"/>
        <item x="2"/>
        <item x="177"/>
        <item x="189"/>
        <item x="190"/>
        <item x="199"/>
        <item x="28"/>
        <item x="207"/>
        <item x="208"/>
        <item x="30"/>
        <item x="42"/>
        <item x="29"/>
        <item x="31"/>
        <item x="1"/>
        <item x="40"/>
        <item x="41"/>
        <item x="61"/>
        <item x="39"/>
        <item x="46"/>
        <item x="49"/>
        <item x="52"/>
        <item x="47"/>
        <item x="48"/>
        <item x="51"/>
        <item x="53"/>
        <item x="56"/>
        <item x="54"/>
        <item x="44"/>
        <item x="57"/>
        <item x="68"/>
        <item x="59"/>
        <item x="64"/>
        <item x="69"/>
        <item x="110"/>
        <item x="102"/>
        <item x="62"/>
        <item x="85"/>
        <item x="70"/>
        <item x="88"/>
        <item x="86"/>
        <item x="72"/>
        <item x="91"/>
        <item x="58"/>
        <item x="71"/>
        <item x="93"/>
        <item x="95"/>
        <item x="104"/>
        <item x="98"/>
        <item x="87"/>
        <item x="92"/>
        <item x="103"/>
        <item x="124"/>
        <item x="126"/>
        <item x="127"/>
        <item x="125"/>
        <item x="132"/>
        <item x="128"/>
        <item x="134"/>
        <item x="148"/>
        <item x="145"/>
        <item x="149"/>
        <item x="123"/>
        <item x="151"/>
        <item x="150"/>
        <item x="155"/>
        <item x="156"/>
        <item x="157"/>
        <item x="133"/>
        <item x="158"/>
        <item x="162"/>
        <item x="165"/>
        <item x="160"/>
        <item x="168"/>
        <item x="175"/>
        <item x="187"/>
        <item x="186"/>
        <item x="180"/>
        <item x="192"/>
        <item x="191"/>
        <item x="196"/>
        <item x="209"/>
        <item x="195"/>
        <item x="194"/>
        <item x="198"/>
        <item x="201"/>
        <item x="197"/>
        <item x="193"/>
        <item x="203"/>
        <item x="204"/>
        <item x="205"/>
        <item x="202"/>
        <item x="35"/>
        <item x="33"/>
        <item x="34"/>
        <item x="210"/>
        <item x="43"/>
        <item x="36"/>
        <item x="38"/>
        <item x="37"/>
        <item x="45"/>
        <item x="50"/>
        <item x="60"/>
        <item x="55"/>
        <item x="67"/>
        <item x="66"/>
        <item x="89"/>
        <item x="90"/>
        <item x="96"/>
        <item x="99"/>
        <item x="97"/>
        <item x="94"/>
        <item x="100"/>
        <item x="101"/>
        <item x="111"/>
        <item x="109"/>
        <item x="130"/>
        <item x="135"/>
        <item x="131"/>
        <item x="136"/>
        <item x="129"/>
        <item x="138"/>
        <item x="139"/>
        <item x="137"/>
        <item x="140"/>
        <item x="147"/>
        <item x="146"/>
        <item x="152"/>
        <item x="154"/>
        <item x="153"/>
        <item x="161"/>
        <item x="169"/>
        <item x="172"/>
        <item x="171"/>
        <item x="170"/>
        <item x="166"/>
        <item x="173"/>
        <item x="174"/>
        <item x="182"/>
        <item x="181"/>
        <item x="200"/>
        <item x="206"/>
        <item x="15"/>
        <item x="11"/>
        <item x="13"/>
        <item x="17"/>
        <item x="25"/>
        <item x="20"/>
        <item x="23"/>
        <item x="24"/>
        <item x="73"/>
        <item x="79"/>
        <item x="78"/>
        <item x="80"/>
        <item x="114"/>
        <item x="117"/>
        <item x="118"/>
        <item x="142"/>
        <item x="143"/>
        <item x="63"/>
        <item x="105"/>
        <item x="32"/>
        <item x="211"/>
        <item t="default"/>
      </items>
    </pivotField>
    <pivotField dataField="1" showAll="0"/>
  </pivotFields>
  <rowFields count="1">
    <field x="0"/>
  </rowFields>
  <rowItems count="5">
    <i>
      <x v="42"/>
    </i>
    <i>
      <x v="75"/>
    </i>
    <i>
      <x v="211"/>
    </i>
    <i>
      <x v="2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ed Nations (2023)" fld="3" baseField="0" baseItem="0" numFmtId="3"/>
    <dataField name="Sum of World Bank (2024)" fld="2" baseField="0" baseItem="42" numFmtId="3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650F8F-E582-432A-AB21-DB22937F2CF9}" autoFormatId="16" applyNumberFormats="0" applyBorderFormats="0" applyFontFormats="0" applyPatternFormats="0" applyAlignmentFormats="0" applyWidthHeightFormats="0">
  <queryTableRefresh nextId="6">
    <queryTableFields count="5">
      <queryTableField id="1" name="Country/Territory" tableColumnId="1"/>
      <queryTableField id="2" name="IMF (2025)[6]" tableColumnId="2"/>
      <queryTableField id="3" name="World Bank (2024)[7]" tableColumnId="3"/>
      <queryTableField id="5" dataBound="0" tableColumnId="5"/>
      <queryTableField id="4" name="United Nations (2023)[8]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0AA1D6-41F9-4F80-B85E-FD69A6693581}" name="GDP_Data" displayName="GDP_Data" ref="A1:E225" tableType="queryTable" totalsRowShown="0">
  <autoFilter ref="A1:E225" xr:uid="{200AA1D6-41F9-4F80-B85E-FD69A6693581}"/>
  <sortState xmlns:xlrd2="http://schemas.microsoft.com/office/spreadsheetml/2017/richdata2" ref="A2:E224">
    <sortCondition ref="E1:E224"/>
  </sortState>
  <tableColumns count="5">
    <tableColumn id="1" xr3:uid="{195C47B0-D9FA-42F2-829D-F35EB8D574B4}" uniqueName="1" name="Country/Territory" queryTableFieldId="1" dataDxfId="4"/>
    <tableColumn id="2" xr3:uid="{798892A8-D976-4504-BD1E-DD202F30DAC2}" uniqueName="2" name="IMF (2025)" queryTableFieldId="2" dataDxfId="3"/>
    <tableColumn id="3" xr3:uid="{D519B6EA-3A9B-42D9-9154-44DCC6F4B851}" uniqueName="3" name="World Bank (2024)" queryTableFieldId="3" dataDxfId="2"/>
    <tableColumn id="5" xr3:uid="{01C56891-7303-4BDB-ACC1-0524E0A432F9}" uniqueName="5" name="avera" queryTableFieldId="5" dataDxfId="0"/>
    <tableColumn id="4" xr3:uid="{4A79B456-706B-4D3E-A2A0-83E2AD1437FD}" uniqueName="4" name="United Nations (2023)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418D-E852-463B-A37B-4669C6CD125C}">
  <dimension ref="A1:H15"/>
  <sheetViews>
    <sheetView tabSelected="1" workbookViewId="0">
      <selection activeCell="J5" sqref="J5"/>
    </sheetView>
  </sheetViews>
  <sheetFormatPr defaultRowHeight="14.5" x14ac:dyDescent="0.35"/>
  <cols>
    <col min="1" max="1" width="11.26953125" bestFit="1" customWidth="1"/>
  </cols>
  <sheetData>
    <row r="1" spans="1:8" x14ac:dyDescent="0.35">
      <c r="A1" s="8" t="s">
        <v>234</v>
      </c>
      <c r="B1" s="7"/>
      <c r="C1" s="7"/>
      <c r="D1" s="7"/>
    </row>
    <row r="2" spans="1:8" x14ac:dyDescent="0.35">
      <c r="A2" s="7"/>
      <c r="B2" s="7"/>
      <c r="C2" s="7"/>
      <c r="D2" s="7"/>
    </row>
    <row r="3" spans="1:8" x14ac:dyDescent="0.35">
      <c r="A3" s="7"/>
      <c r="B3" s="7"/>
      <c r="C3" s="7"/>
      <c r="D3" s="7"/>
    </row>
    <row r="4" spans="1:8" x14ac:dyDescent="0.35">
      <c r="A4" s="7"/>
      <c r="B4" s="7"/>
      <c r="C4" s="7"/>
      <c r="D4" s="7"/>
      <c r="E4" s="9"/>
    </row>
    <row r="5" spans="1:8" x14ac:dyDescent="0.35">
      <c r="A5" s="7"/>
      <c r="B5" s="7"/>
      <c r="C5" s="7"/>
      <c r="D5" s="7"/>
      <c r="H5" s="9"/>
    </row>
    <row r="6" spans="1:8" x14ac:dyDescent="0.35">
      <c r="A6" s="7"/>
      <c r="B6" s="7"/>
      <c r="C6" s="7"/>
      <c r="D6" s="7"/>
    </row>
    <row r="7" spans="1:8" x14ac:dyDescent="0.35">
      <c r="A7" s="7"/>
      <c r="B7" s="7"/>
      <c r="C7" s="7"/>
      <c r="D7" s="7"/>
    </row>
    <row r="8" spans="1:8" x14ac:dyDescent="0.35">
      <c r="A8" s="7"/>
      <c r="B8" s="7"/>
      <c r="C8" s="7"/>
      <c r="D8" s="7"/>
    </row>
    <row r="9" spans="1:8" x14ac:dyDescent="0.35">
      <c r="A9" s="7"/>
      <c r="B9" s="7"/>
      <c r="C9" s="7"/>
      <c r="D9" s="7"/>
    </row>
    <row r="10" spans="1:8" x14ac:dyDescent="0.35">
      <c r="A10" s="7"/>
      <c r="B10" s="7"/>
      <c r="C10" s="7"/>
      <c r="D10" s="7"/>
    </row>
    <row r="11" spans="1:8" x14ac:dyDescent="0.35">
      <c r="A11" s="7"/>
      <c r="B11" s="7"/>
      <c r="C11" s="7"/>
      <c r="D11" s="7"/>
    </row>
    <row r="12" spans="1:8" x14ac:dyDescent="0.35">
      <c r="A12" s="7"/>
      <c r="B12" s="7"/>
      <c r="C12" s="7"/>
      <c r="D12" s="7"/>
    </row>
    <row r="13" spans="1:8" x14ac:dyDescent="0.35">
      <c r="A13" s="7"/>
      <c r="B13" s="7"/>
      <c r="C13" s="7"/>
      <c r="D13" s="7"/>
    </row>
    <row r="14" spans="1:8" x14ac:dyDescent="0.35">
      <c r="A14" s="7"/>
      <c r="B14" s="7"/>
      <c r="C14" s="7"/>
      <c r="D14" s="7"/>
    </row>
    <row r="15" spans="1:8" x14ac:dyDescent="0.35">
      <c r="A15" s="7"/>
      <c r="B15" s="7"/>
      <c r="C15" s="7"/>
      <c r="D15" s="7"/>
    </row>
  </sheetData>
  <mergeCells count="1">
    <mergeCell ref="A1:D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0261-C4AD-4630-AFFC-DC01B9F0FCE0}">
  <dimension ref="A1:G225"/>
  <sheetViews>
    <sheetView zoomScale="85" zoomScaleNormal="85" workbookViewId="0"/>
  </sheetViews>
  <sheetFormatPr defaultRowHeight="14.5" x14ac:dyDescent="0.35"/>
  <cols>
    <col min="1" max="1" width="28.7265625" bestFit="1" customWidth="1"/>
    <col min="2" max="2" width="16.54296875" style="4" bestFit="1" customWidth="1"/>
    <col min="3" max="3" width="21.08984375" style="4" bestFit="1" customWidth="1"/>
    <col min="4" max="4" width="21.08984375" style="4" customWidth="1"/>
    <col min="5" max="5" width="23.90625" style="4" bestFit="1" customWidth="1"/>
    <col min="7" max="7" width="5.1796875" bestFit="1" customWidth="1"/>
  </cols>
  <sheetData>
    <row r="1" spans="1:7" x14ac:dyDescent="0.35">
      <c r="A1" t="s">
        <v>0</v>
      </c>
      <c r="B1" s="4" t="s">
        <v>224</v>
      </c>
      <c r="C1" s="4" t="s">
        <v>223</v>
      </c>
      <c r="D1" s="4" t="s">
        <v>233</v>
      </c>
      <c r="E1" s="4" t="s">
        <v>225</v>
      </c>
    </row>
    <row r="2" spans="1:7" x14ac:dyDescent="0.35">
      <c r="A2" s="1" t="s">
        <v>23</v>
      </c>
      <c r="B2" s="4">
        <v>884387</v>
      </c>
      <c r="C2" s="4">
        <v>0</v>
      </c>
    </row>
    <row r="3" spans="1:7" x14ac:dyDescent="0.35">
      <c r="A3" s="1" t="s">
        <v>156</v>
      </c>
      <c r="B3" s="4">
        <v>0</v>
      </c>
      <c r="C3" s="4">
        <v>12508</v>
      </c>
      <c r="E3" s="4">
        <v>0</v>
      </c>
    </row>
    <row r="4" spans="1:7" x14ac:dyDescent="0.35">
      <c r="A4" s="1" t="s">
        <v>167</v>
      </c>
      <c r="B4" s="4">
        <v>0</v>
      </c>
      <c r="C4" s="4">
        <v>7431</v>
      </c>
      <c r="E4" s="4">
        <v>0</v>
      </c>
      <c r="G4">
        <f>_xlfn.XLOOKUP($A21,A:A,B:B,"Not Foound")</f>
        <v>1613</v>
      </c>
    </row>
    <row r="5" spans="1:7" x14ac:dyDescent="0.35">
      <c r="A5" s="1" t="s">
        <v>170</v>
      </c>
      <c r="B5" s="4">
        <v>0</v>
      </c>
      <c r="C5" s="4">
        <v>6910</v>
      </c>
      <c r="E5" s="4">
        <v>0</v>
      </c>
    </row>
    <row r="6" spans="1:7" x14ac:dyDescent="0.35">
      <c r="A6" s="1" t="s">
        <v>176</v>
      </c>
      <c r="B6" s="4">
        <v>0</v>
      </c>
      <c r="C6" s="4">
        <v>4672</v>
      </c>
      <c r="E6" s="4">
        <v>0</v>
      </c>
    </row>
    <row r="7" spans="1:7" x14ac:dyDescent="0.35">
      <c r="A7" s="1" t="s">
        <v>181</v>
      </c>
      <c r="B7" s="4">
        <v>0</v>
      </c>
      <c r="C7" s="4">
        <v>3907</v>
      </c>
      <c r="E7" s="4">
        <v>0</v>
      </c>
    </row>
    <row r="8" spans="1:7" x14ac:dyDescent="0.35">
      <c r="A8" s="1" t="s">
        <v>208</v>
      </c>
      <c r="B8" s="4">
        <v>0</v>
      </c>
      <c r="C8" s="4">
        <v>1096</v>
      </c>
      <c r="E8" s="4">
        <v>0</v>
      </c>
    </row>
    <row r="9" spans="1:7" x14ac:dyDescent="0.35">
      <c r="A9" s="1" t="s">
        <v>210</v>
      </c>
      <c r="B9" s="4">
        <v>0</v>
      </c>
      <c r="C9" s="4">
        <v>871</v>
      </c>
      <c r="E9" s="4">
        <v>0</v>
      </c>
    </row>
    <row r="10" spans="1:7" x14ac:dyDescent="0.35">
      <c r="A10" s="1" t="s">
        <v>212</v>
      </c>
      <c r="B10" s="4">
        <v>0</v>
      </c>
      <c r="C10" s="4">
        <v>649</v>
      </c>
      <c r="E10" s="4">
        <v>0</v>
      </c>
    </row>
    <row r="11" spans="1:7" x14ac:dyDescent="0.35">
      <c r="A11" s="1" t="s">
        <v>204</v>
      </c>
      <c r="B11" s="4">
        <v>1248</v>
      </c>
      <c r="C11" s="4">
        <v>1068</v>
      </c>
      <c r="E11" s="4">
        <v>1032</v>
      </c>
    </row>
    <row r="12" spans="1:7" x14ac:dyDescent="0.35">
      <c r="A12" s="1" t="s">
        <v>206</v>
      </c>
      <c r="B12" s="4">
        <v>1141</v>
      </c>
      <c r="C12" s="4">
        <v>1067</v>
      </c>
      <c r="E12" s="4">
        <v>1058</v>
      </c>
    </row>
    <row r="13" spans="1:7" x14ac:dyDescent="0.35">
      <c r="A13" s="1" t="s">
        <v>20</v>
      </c>
      <c r="B13" s="4">
        <v>1268535</v>
      </c>
      <c r="C13" s="4">
        <v>1237530</v>
      </c>
      <c r="E13" s="4">
        <v>1067583</v>
      </c>
    </row>
    <row r="14" spans="1:7" x14ac:dyDescent="0.35">
      <c r="A14" s="1" t="s">
        <v>205</v>
      </c>
      <c r="B14" s="4">
        <v>1238</v>
      </c>
      <c r="C14" s="4">
        <v>1157</v>
      </c>
      <c r="E14" s="4">
        <v>1091</v>
      </c>
    </row>
    <row r="15" spans="1:7" x14ac:dyDescent="0.35">
      <c r="A15" s="1" t="s">
        <v>17</v>
      </c>
      <c r="B15" s="4">
        <v>1565471</v>
      </c>
      <c r="C15" s="4">
        <v>1323255</v>
      </c>
      <c r="E15" s="4">
        <v>1118253</v>
      </c>
    </row>
    <row r="16" spans="1:7" x14ac:dyDescent="0.35">
      <c r="A16" s="1" t="s">
        <v>207</v>
      </c>
      <c r="B16" s="4">
        <v>1119</v>
      </c>
      <c r="C16" s="4">
        <v>1161</v>
      </c>
      <c r="E16" s="4">
        <v>1119</v>
      </c>
    </row>
    <row r="17" spans="1:5" x14ac:dyDescent="0.35">
      <c r="A17" s="1" t="s">
        <v>19</v>
      </c>
      <c r="B17" s="4">
        <v>1320635</v>
      </c>
      <c r="C17" s="4">
        <v>1227544</v>
      </c>
      <c r="E17" s="4">
        <v>1154361</v>
      </c>
    </row>
    <row r="18" spans="1:5" x14ac:dyDescent="0.35">
      <c r="A18" s="1" t="s">
        <v>203</v>
      </c>
      <c r="B18" s="4">
        <v>1458</v>
      </c>
      <c r="C18" s="4">
        <v>1391</v>
      </c>
      <c r="E18" s="4">
        <v>1317</v>
      </c>
    </row>
    <row r="19" spans="1:5" x14ac:dyDescent="0.35">
      <c r="A19" s="1" t="s">
        <v>18</v>
      </c>
      <c r="B19" s="4">
        <v>1443256</v>
      </c>
      <c r="C19" s="4">
        <v>1396300</v>
      </c>
      <c r="E19" s="4">
        <v>1371171</v>
      </c>
    </row>
    <row r="20" spans="1:5" x14ac:dyDescent="0.35">
      <c r="A20" s="1" t="s">
        <v>199</v>
      </c>
      <c r="B20" s="4">
        <v>0</v>
      </c>
      <c r="C20" s="4">
        <v>1745</v>
      </c>
      <c r="E20" s="4">
        <v>1402</v>
      </c>
    </row>
    <row r="21" spans="1:5" x14ac:dyDescent="0.35">
      <c r="A21" s="1" t="s">
        <v>201</v>
      </c>
      <c r="B21" s="4">
        <v>1613</v>
      </c>
      <c r="C21" s="4">
        <v>1546</v>
      </c>
      <c r="E21" s="4">
        <v>1448</v>
      </c>
    </row>
    <row r="22" spans="1:5" x14ac:dyDescent="0.35">
      <c r="A22" s="1" t="s">
        <v>202</v>
      </c>
      <c r="B22" s="4">
        <v>0</v>
      </c>
      <c r="C22" s="4">
        <v>0</v>
      </c>
      <c r="E22" s="4">
        <v>1506</v>
      </c>
    </row>
    <row r="23" spans="1:5" x14ac:dyDescent="0.35">
      <c r="A23" s="1" t="s">
        <v>13</v>
      </c>
      <c r="B23" s="4">
        <v>1891371</v>
      </c>
      <c r="C23" s="4">
        <v>1722746</v>
      </c>
      <c r="E23" s="4">
        <v>1620091</v>
      </c>
    </row>
    <row r="24" spans="1:5" x14ac:dyDescent="0.35">
      <c r="A24" s="1" t="s">
        <v>198</v>
      </c>
      <c r="B24" s="4">
        <v>1904</v>
      </c>
      <c r="C24" s="4">
        <v>1761</v>
      </c>
      <c r="E24" s="4">
        <v>1633</v>
      </c>
    </row>
    <row r="25" spans="1:5" x14ac:dyDescent="0.35">
      <c r="A25" s="1" t="s">
        <v>200</v>
      </c>
      <c r="B25" s="4">
        <v>0</v>
      </c>
      <c r="C25" s="4">
        <v>1735</v>
      </c>
      <c r="E25" s="4">
        <v>1677</v>
      </c>
    </row>
    <row r="26" spans="1:5" x14ac:dyDescent="0.35">
      <c r="A26" s="1" t="s">
        <v>16</v>
      </c>
      <c r="B26" s="4">
        <v>1829508</v>
      </c>
      <c r="C26" s="4">
        <v>1752193</v>
      </c>
      <c r="E26" s="4">
        <v>1775628</v>
      </c>
    </row>
    <row r="27" spans="1:5" x14ac:dyDescent="0.35">
      <c r="A27" s="1" t="s">
        <v>14</v>
      </c>
      <c r="B27" s="4">
        <v>1862740</v>
      </c>
      <c r="C27" s="4">
        <v>1852723</v>
      </c>
      <c r="E27" s="4">
        <v>1793799</v>
      </c>
    </row>
    <row r="28" spans="1:5" x14ac:dyDescent="0.35">
      <c r="A28" s="1" t="s">
        <v>15</v>
      </c>
      <c r="B28" s="4">
        <v>1858572</v>
      </c>
      <c r="C28" s="4">
        <v>1712793</v>
      </c>
      <c r="E28" s="4">
        <v>1839058</v>
      </c>
    </row>
    <row r="29" spans="1:5" x14ac:dyDescent="0.35">
      <c r="A29" s="1" t="s">
        <v>191</v>
      </c>
      <c r="B29" s="4">
        <v>2474</v>
      </c>
      <c r="C29" s="4">
        <v>2120</v>
      </c>
      <c r="E29" s="4">
        <v>1841</v>
      </c>
    </row>
    <row r="30" spans="1:5" x14ac:dyDescent="0.35">
      <c r="A30" s="1" t="s">
        <v>195</v>
      </c>
      <c r="B30" s="4">
        <v>2241</v>
      </c>
      <c r="C30" s="4">
        <v>1832</v>
      </c>
      <c r="E30" s="4">
        <v>1987</v>
      </c>
    </row>
    <row r="31" spans="1:5" x14ac:dyDescent="0.35">
      <c r="A31" s="1" t="s">
        <v>160</v>
      </c>
      <c r="B31" s="4">
        <v>0</v>
      </c>
      <c r="C31" s="4">
        <v>9623</v>
      </c>
      <c r="E31" s="4">
        <v>10140</v>
      </c>
    </row>
    <row r="32" spans="1:5" x14ac:dyDescent="0.35">
      <c r="A32" s="1" t="s">
        <v>155</v>
      </c>
      <c r="B32" s="4">
        <v>12672</v>
      </c>
      <c r="C32" s="4">
        <v>11149</v>
      </c>
      <c r="E32" s="4">
        <v>10467</v>
      </c>
    </row>
    <row r="33" spans="1:5" x14ac:dyDescent="0.35">
      <c r="A33" s="1" t="s">
        <v>157</v>
      </c>
      <c r="B33" s="4">
        <v>11953</v>
      </c>
      <c r="C33" s="4">
        <v>10767</v>
      </c>
      <c r="E33" s="4">
        <v>10652</v>
      </c>
    </row>
    <row r="34" spans="1:5" x14ac:dyDescent="0.35">
      <c r="A34" s="1" t="s">
        <v>154</v>
      </c>
      <c r="B34" s="4">
        <v>12944</v>
      </c>
      <c r="C34" s="4">
        <v>12109</v>
      </c>
      <c r="E34" s="4">
        <v>10969</v>
      </c>
    </row>
    <row r="35" spans="1:5" x14ac:dyDescent="0.35">
      <c r="A35" s="1" t="s">
        <v>1</v>
      </c>
      <c r="B35" s="4">
        <v>117165394</v>
      </c>
      <c r="C35" s="4">
        <v>111326370</v>
      </c>
      <c r="E35" s="4">
        <v>100834796</v>
      </c>
    </row>
    <row r="36" spans="1:5" x14ac:dyDescent="0.35">
      <c r="A36" s="1" t="s">
        <v>68</v>
      </c>
      <c r="B36" s="4">
        <v>127924</v>
      </c>
      <c r="C36" s="4">
        <v>112212</v>
      </c>
      <c r="E36" s="4">
        <v>102397</v>
      </c>
    </row>
    <row r="37" spans="1:5" x14ac:dyDescent="0.35">
      <c r="A37" s="1" t="s">
        <v>70</v>
      </c>
      <c r="B37" s="4">
        <v>120850</v>
      </c>
      <c r="C37" s="4">
        <v>113200</v>
      </c>
      <c r="E37" s="4">
        <v>104451</v>
      </c>
    </row>
    <row r="38" spans="1:5" x14ac:dyDescent="0.35">
      <c r="A38" s="1" t="s">
        <v>74</v>
      </c>
      <c r="B38" s="4">
        <v>105190</v>
      </c>
      <c r="C38" s="4">
        <v>106943</v>
      </c>
      <c r="E38" s="4">
        <v>105896</v>
      </c>
    </row>
    <row r="39" spans="1:5" x14ac:dyDescent="0.35">
      <c r="A39" s="1" t="s">
        <v>65</v>
      </c>
      <c r="B39" s="4">
        <v>136014</v>
      </c>
      <c r="C39" s="4">
        <v>124499</v>
      </c>
      <c r="E39" s="4">
        <v>108039</v>
      </c>
    </row>
    <row r="40" spans="1:5" x14ac:dyDescent="0.35">
      <c r="A40" s="1" t="s">
        <v>69</v>
      </c>
      <c r="B40" s="4">
        <v>126546</v>
      </c>
      <c r="C40" s="4">
        <v>125842</v>
      </c>
      <c r="E40" s="4">
        <v>117902</v>
      </c>
    </row>
    <row r="41" spans="1:5" x14ac:dyDescent="0.35">
      <c r="A41" s="1" t="s">
        <v>66</v>
      </c>
      <c r="B41" s="4">
        <v>130529</v>
      </c>
      <c r="C41" s="4">
        <v>124676</v>
      </c>
      <c r="E41" s="4">
        <v>118845</v>
      </c>
    </row>
    <row r="42" spans="1:5" x14ac:dyDescent="0.35">
      <c r="A42" s="1" t="s">
        <v>142</v>
      </c>
      <c r="B42" s="4">
        <v>17032</v>
      </c>
      <c r="C42" s="4">
        <v>14205</v>
      </c>
      <c r="E42" s="4">
        <v>12061</v>
      </c>
    </row>
    <row r="43" spans="1:5" x14ac:dyDescent="0.35">
      <c r="A43" s="1" t="s">
        <v>153</v>
      </c>
      <c r="B43" s="4">
        <v>13467</v>
      </c>
      <c r="C43" s="4">
        <v>12766</v>
      </c>
      <c r="E43" s="4">
        <v>12117</v>
      </c>
    </row>
    <row r="44" spans="1:5" x14ac:dyDescent="0.35">
      <c r="A44" s="1" t="s">
        <v>151</v>
      </c>
      <c r="B44" s="4">
        <v>14686</v>
      </c>
      <c r="C44" s="4">
        <v>13372</v>
      </c>
      <c r="E44" s="4">
        <v>12351</v>
      </c>
    </row>
    <row r="45" spans="1:5" x14ac:dyDescent="0.35">
      <c r="A45" s="1" t="s">
        <v>149</v>
      </c>
      <c r="B45" s="4">
        <v>14975</v>
      </c>
      <c r="C45" s="4">
        <v>11009</v>
      </c>
      <c r="E45" s="4">
        <v>12627</v>
      </c>
    </row>
    <row r="46" spans="1:5" x14ac:dyDescent="0.35">
      <c r="A46" s="1" t="s">
        <v>67</v>
      </c>
      <c r="B46" s="4">
        <v>129748</v>
      </c>
      <c r="C46" s="4">
        <v>124282</v>
      </c>
      <c r="E46" s="4">
        <v>121444</v>
      </c>
    </row>
    <row r="47" spans="1:5" x14ac:dyDescent="0.35">
      <c r="A47" s="1" t="s">
        <v>134</v>
      </c>
      <c r="B47" s="4">
        <v>20160</v>
      </c>
      <c r="C47" s="4">
        <v>17478</v>
      </c>
      <c r="E47" s="4">
        <v>13988</v>
      </c>
    </row>
    <row r="48" spans="1:5" x14ac:dyDescent="0.35">
      <c r="A48" s="1" t="s">
        <v>63</v>
      </c>
      <c r="B48" s="4">
        <v>154587</v>
      </c>
      <c r="C48" s="4">
        <v>141776</v>
      </c>
      <c r="E48" s="4">
        <v>132908</v>
      </c>
    </row>
    <row r="49" spans="1:5" x14ac:dyDescent="0.35">
      <c r="A49" s="1" t="s">
        <v>86</v>
      </c>
      <c r="B49" s="4">
        <v>82767</v>
      </c>
      <c r="C49" s="4">
        <v>0</v>
      </c>
      <c r="E49" s="4">
        <v>139395</v>
      </c>
    </row>
    <row r="50" spans="1:5" x14ac:dyDescent="0.35">
      <c r="A50" s="1" t="s">
        <v>150</v>
      </c>
      <c r="B50" s="4">
        <v>14771</v>
      </c>
      <c r="C50" s="4">
        <v>14252</v>
      </c>
      <c r="E50" s="4">
        <v>14097</v>
      </c>
    </row>
    <row r="51" spans="1:5" x14ac:dyDescent="0.35">
      <c r="A51" s="1" t="s">
        <v>147</v>
      </c>
      <c r="B51" s="4">
        <v>15695</v>
      </c>
      <c r="C51" s="4">
        <v>15720</v>
      </c>
      <c r="E51" s="4">
        <v>14167</v>
      </c>
    </row>
    <row r="52" spans="1:5" x14ac:dyDescent="0.35">
      <c r="A52" s="1" t="s">
        <v>145</v>
      </c>
      <c r="B52" s="4">
        <v>16393</v>
      </c>
      <c r="C52" s="4">
        <v>15833</v>
      </c>
      <c r="E52" s="4">
        <v>14338</v>
      </c>
    </row>
    <row r="53" spans="1:5" x14ac:dyDescent="0.35">
      <c r="A53" s="1" t="s">
        <v>146</v>
      </c>
      <c r="B53" s="4">
        <v>15730</v>
      </c>
      <c r="C53" s="4">
        <v>14953</v>
      </c>
      <c r="E53" s="4">
        <v>14397</v>
      </c>
    </row>
    <row r="54" spans="1:5" x14ac:dyDescent="0.35">
      <c r="A54" s="1" t="s">
        <v>61</v>
      </c>
      <c r="B54" s="4">
        <v>179612</v>
      </c>
      <c r="C54" s="4">
        <v>154431</v>
      </c>
      <c r="E54" s="4">
        <v>144438</v>
      </c>
    </row>
    <row r="55" spans="1:5" x14ac:dyDescent="0.35">
      <c r="A55" s="1" t="s">
        <v>143</v>
      </c>
      <c r="B55" s="4">
        <v>16934</v>
      </c>
      <c r="C55" s="4">
        <v>16503</v>
      </c>
      <c r="E55" s="4">
        <v>15008</v>
      </c>
    </row>
    <row r="56" spans="1:5" x14ac:dyDescent="0.35">
      <c r="A56" s="1" t="s">
        <v>148</v>
      </c>
      <c r="B56" s="4">
        <v>15565</v>
      </c>
      <c r="C56" s="4">
        <v>15463</v>
      </c>
      <c r="E56" s="4">
        <v>15128</v>
      </c>
    </row>
    <row r="57" spans="1:5" x14ac:dyDescent="0.35">
      <c r="A57" s="1" t="s">
        <v>139</v>
      </c>
      <c r="B57" s="4">
        <v>18783</v>
      </c>
      <c r="C57" s="4">
        <v>16685</v>
      </c>
      <c r="E57" s="4">
        <v>15764</v>
      </c>
    </row>
    <row r="58" spans="1:5" x14ac:dyDescent="0.35">
      <c r="A58" s="1" t="s">
        <v>137</v>
      </c>
      <c r="B58" s="4">
        <v>19377</v>
      </c>
      <c r="C58" s="4">
        <v>17421</v>
      </c>
      <c r="E58" s="4">
        <v>15870</v>
      </c>
    </row>
    <row r="59" spans="1:5" x14ac:dyDescent="0.35">
      <c r="A59" s="1" t="s">
        <v>73</v>
      </c>
      <c r="B59" s="4">
        <v>109492</v>
      </c>
      <c r="C59" s="4">
        <v>163698</v>
      </c>
      <c r="E59" s="4">
        <v>159746</v>
      </c>
    </row>
    <row r="60" spans="1:5" x14ac:dyDescent="0.35">
      <c r="A60" s="1" t="s">
        <v>140</v>
      </c>
      <c r="B60" s="4">
        <v>18080</v>
      </c>
      <c r="C60" s="4">
        <v>17152</v>
      </c>
      <c r="E60" s="4">
        <v>16417</v>
      </c>
    </row>
    <row r="61" spans="1:5" x14ac:dyDescent="0.35">
      <c r="A61" s="1" t="s">
        <v>144</v>
      </c>
      <c r="B61" s="4">
        <v>0</v>
      </c>
      <c r="C61" s="4">
        <v>0</v>
      </c>
      <c r="E61" s="4">
        <v>16447</v>
      </c>
    </row>
    <row r="62" spans="1:5" x14ac:dyDescent="0.35">
      <c r="A62" s="1" t="s">
        <v>136</v>
      </c>
      <c r="B62" s="4">
        <v>19620</v>
      </c>
      <c r="C62" s="4">
        <v>18200</v>
      </c>
      <c r="E62" s="4">
        <v>16542</v>
      </c>
    </row>
    <row r="63" spans="1:5" x14ac:dyDescent="0.35">
      <c r="A63" s="1" t="s">
        <v>126</v>
      </c>
      <c r="B63" s="4">
        <v>25064</v>
      </c>
      <c r="C63" s="4">
        <v>24836</v>
      </c>
      <c r="E63" s="4">
        <v>16683</v>
      </c>
    </row>
    <row r="64" spans="1:5" x14ac:dyDescent="0.35">
      <c r="A64" s="1" t="s">
        <v>130</v>
      </c>
      <c r="B64" s="4">
        <v>22969</v>
      </c>
      <c r="C64" s="4">
        <v>19538</v>
      </c>
      <c r="E64" s="4">
        <v>16819</v>
      </c>
    </row>
    <row r="65" spans="1:5" x14ac:dyDescent="0.35">
      <c r="A65" s="1" t="s">
        <v>62</v>
      </c>
      <c r="B65" s="4">
        <v>157469</v>
      </c>
      <c r="C65" s="4">
        <v>160227</v>
      </c>
      <c r="E65" s="4">
        <v>163705</v>
      </c>
    </row>
    <row r="66" spans="1:5" x14ac:dyDescent="0.35">
      <c r="A66" s="1" t="s">
        <v>152</v>
      </c>
      <c r="B66" s="4" t="s">
        <v>228</v>
      </c>
      <c r="C66" s="4">
        <v>13711</v>
      </c>
      <c r="E66" s="4">
        <v>17396</v>
      </c>
    </row>
    <row r="67" spans="1:5" x14ac:dyDescent="0.35">
      <c r="A67" s="1" t="s">
        <v>131</v>
      </c>
      <c r="B67" s="4">
        <v>21592</v>
      </c>
      <c r="C67" s="4">
        <v>20626</v>
      </c>
      <c r="E67" s="4">
        <v>17643</v>
      </c>
    </row>
    <row r="68" spans="1:5" x14ac:dyDescent="0.35">
      <c r="A68" s="1" t="s">
        <v>3</v>
      </c>
      <c r="B68" s="4">
        <v>19398577</v>
      </c>
      <c r="C68" s="4">
        <v>18743803</v>
      </c>
      <c r="E68" s="4">
        <v>17794782</v>
      </c>
    </row>
    <row r="69" spans="1:5" x14ac:dyDescent="0.35">
      <c r="A69" s="1" t="s">
        <v>133</v>
      </c>
      <c r="B69" s="4">
        <v>20689</v>
      </c>
      <c r="C69" s="4">
        <v>19694</v>
      </c>
      <c r="E69" s="4">
        <v>17829</v>
      </c>
    </row>
    <row r="70" spans="1:5" x14ac:dyDescent="0.35">
      <c r="A70" s="1" t="s">
        <v>220</v>
      </c>
      <c r="B70" s="4">
        <v>172</v>
      </c>
      <c r="C70" s="4">
        <v>160</v>
      </c>
      <c r="E70" s="4">
        <v>176</v>
      </c>
    </row>
    <row r="71" spans="1:5" x14ac:dyDescent="0.35">
      <c r="A71" s="1" t="s">
        <v>59</v>
      </c>
      <c r="B71" s="4">
        <v>209713</v>
      </c>
      <c r="C71" s="4">
        <v>190741</v>
      </c>
      <c r="E71" s="4">
        <v>178757</v>
      </c>
    </row>
    <row r="72" spans="1:5" x14ac:dyDescent="0.35">
      <c r="A72" s="1" t="s">
        <v>53</v>
      </c>
      <c r="B72" s="4">
        <v>285003</v>
      </c>
      <c r="C72" s="4">
        <v>188271</v>
      </c>
      <c r="E72" s="4">
        <v>187760</v>
      </c>
    </row>
    <row r="73" spans="1:5" x14ac:dyDescent="0.35">
      <c r="A73" s="1" t="s">
        <v>138</v>
      </c>
      <c r="B73" s="4">
        <v>19186</v>
      </c>
      <c r="C73" s="4">
        <v>19401</v>
      </c>
      <c r="E73" s="4">
        <v>19396</v>
      </c>
    </row>
    <row r="74" spans="1:5" x14ac:dyDescent="0.35">
      <c r="A74" s="1" t="s">
        <v>129</v>
      </c>
      <c r="B74" s="4">
        <v>23137</v>
      </c>
      <c r="C74" s="4">
        <v>19930</v>
      </c>
      <c r="E74" s="4">
        <v>19423</v>
      </c>
    </row>
    <row r="75" spans="1:5" x14ac:dyDescent="0.35">
      <c r="A75" s="1" t="s">
        <v>128</v>
      </c>
      <c r="B75" s="4">
        <v>24402</v>
      </c>
      <c r="C75" s="4">
        <v>21483</v>
      </c>
      <c r="E75" s="4">
        <v>19673</v>
      </c>
    </row>
    <row r="76" spans="1:5" x14ac:dyDescent="0.35">
      <c r="A76" s="1" t="s">
        <v>115</v>
      </c>
      <c r="B76" s="4">
        <v>30908</v>
      </c>
      <c r="C76" s="4">
        <v>25224</v>
      </c>
      <c r="E76" s="4">
        <v>19841</v>
      </c>
    </row>
    <row r="77" spans="1:5" x14ac:dyDescent="0.35">
      <c r="A77" s="1" t="s">
        <v>125</v>
      </c>
      <c r="B77" s="4">
        <v>25105</v>
      </c>
      <c r="C77" s="4">
        <v>23586</v>
      </c>
      <c r="E77" s="4">
        <v>19872</v>
      </c>
    </row>
    <row r="78" spans="1:5" x14ac:dyDescent="0.35">
      <c r="A78" s="1" t="s">
        <v>10</v>
      </c>
      <c r="B78" s="4">
        <v>2540656</v>
      </c>
      <c r="C78" s="4">
        <v>2173836</v>
      </c>
      <c r="E78" s="4">
        <v>2008419</v>
      </c>
    </row>
    <row r="79" spans="1:5" x14ac:dyDescent="0.35">
      <c r="A79" s="1" t="s">
        <v>193</v>
      </c>
      <c r="B79" s="4">
        <v>2340</v>
      </c>
      <c r="C79" s="4">
        <v>2225</v>
      </c>
      <c r="E79" s="4">
        <v>2033</v>
      </c>
    </row>
    <row r="80" spans="1:5" x14ac:dyDescent="0.35">
      <c r="A80" s="1" t="s">
        <v>197</v>
      </c>
      <c r="B80" s="4">
        <v>2125</v>
      </c>
      <c r="C80" s="4">
        <v>1881</v>
      </c>
      <c r="E80" s="4">
        <v>2080</v>
      </c>
    </row>
    <row r="81" spans="1:5" x14ac:dyDescent="0.35">
      <c r="A81" s="1" t="s">
        <v>192</v>
      </c>
      <c r="B81" s="4">
        <v>2390</v>
      </c>
      <c r="C81" s="4">
        <v>2272</v>
      </c>
      <c r="E81" s="4">
        <v>2118</v>
      </c>
    </row>
    <row r="82" spans="1:5" x14ac:dyDescent="0.35">
      <c r="A82" s="1" t="s">
        <v>196</v>
      </c>
      <c r="B82" s="4">
        <v>2230</v>
      </c>
      <c r="C82" s="4">
        <v>2167</v>
      </c>
      <c r="E82" s="4">
        <v>2141</v>
      </c>
    </row>
    <row r="83" spans="1:5" x14ac:dyDescent="0.35">
      <c r="A83" s="1" t="s">
        <v>11</v>
      </c>
      <c r="B83" s="4">
        <v>2283599</v>
      </c>
      <c r="C83" s="4">
        <v>2241253</v>
      </c>
      <c r="E83" s="4">
        <v>2142471</v>
      </c>
    </row>
    <row r="84" spans="1:5" x14ac:dyDescent="0.35">
      <c r="A84" s="1" t="s">
        <v>12</v>
      </c>
      <c r="B84" s="4">
        <v>2256910</v>
      </c>
      <c r="C84" s="4">
        <v>2179412</v>
      </c>
      <c r="E84" s="4">
        <v>2191132</v>
      </c>
    </row>
    <row r="85" spans="1:5" x14ac:dyDescent="0.35">
      <c r="A85" s="1" t="s">
        <v>194</v>
      </c>
      <c r="B85" s="4">
        <v>0</v>
      </c>
      <c r="C85" s="4">
        <v>0</v>
      </c>
      <c r="E85" s="4">
        <v>2275</v>
      </c>
    </row>
    <row r="86" spans="1:5" x14ac:dyDescent="0.35">
      <c r="A86" s="1" t="s">
        <v>9</v>
      </c>
      <c r="B86" s="4">
        <v>2543677</v>
      </c>
      <c r="C86" s="4">
        <v>2372775</v>
      </c>
      <c r="E86" s="4">
        <v>2300941</v>
      </c>
    </row>
    <row r="87" spans="1:5" x14ac:dyDescent="0.35">
      <c r="A87" s="1" t="s">
        <v>189</v>
      </c>
      <c r="B87" s="4">
        <v>2497</v>
      </c>
      <c r="C87" s="4">
        <v>2508</v>
      </c>
      <c r="E87" s="4">
        <v>2401</v>
      </c>
    </row>
    <row r="88" spans="1:5" x14ac:dyDescent="0.35">
      <c r="A88" s="1" t="s">
        <v>188</v>
      </c>
      <c r="B88" s="4">
        <v>2659</v>
      </c>
      <c r="C88" s="4">
        <v>2549</v>
      </c>
      <c r="E88" s="4">
        <v>2430</v>
      </c>
    </row>
    <row r="89" spans="1:5" x14ac:dyDescent="0.35">
      <c r="A89" s="1" t="s">
        <v>190</v>
      </c>
      <c r="B89" s="4">
        <v>0</v>
      </c>
      <c r="C89" s="4">
        <v>0</v>
      </c>
      <c r="E89" s="4">
        <v>2483</v>
      </c>
    </row>
    <row r="90" spans="1:5" x14ac:dyDescent="0.35">
      <c r="A90" s="1" t="s">
        <v>184</v>
      </c>
      <c r="B90" s="4">
        <v>3300</v>
      </c>
      <c r="C90" s="4">
        <v>2752</v>
      </c>
      <c r="E90" s="4">
        <v>2555</v>
      </c>
    </row>
    <row r="91" spans="1:5" x14ac:dyDescent="0.35">
      <c r="A91" s="1" t="s">
        <v>187</v>
      </c>
      <c r="B91" s="4">
        <v>2915</v>
      </c>
      <c r="C91" s="4">
        <v>2768</v>
      </c>
      <c r="E91" s="4">
        <v>2591</v>
      </c>
    </row>
    <row r="92" spans="1:5" x14ac:dyDescent="0.35">
      <c r="A92" s="1" t="s">
        <v>132</v>
      </c>
      <c r="B92" s="4">
        <v>21455</v>
      </c>
      <c r="C92" s="4">
        <v>20867</v>
      </c>
      <c r="E92" s="4">
        <v>20056</v>
      </c>
    </row>
    <row r="93" spans="1:5" x14ac:dyDescent="0.35">
      <c r="A93" s="1" t="s">
        <v>122</v>
      </c>
      <c r="B93" s="4">
        <v>26866</v>
      </c>
      <c r="C93" s="4">
        <v>23250</v>
      </c>
      <c r="E93" s="4">
        <v>20325</v>
      </c>
    </row>
    <row r="94" spans="1:5" x14ac:dyDescent="0.35">
      <c r="A94" s="1" t="s">
        <v>124</v>
      </c>
      <c r="B94" s="4">
        <v>25591</v>
      </c>
      <c r="C94" s="4">
        <v>26588</v>
      </c>
      <c r="E94" s="4">
        <v>20662</v>
      </c>
    </row>
    <row r="95" spans="1:5" x14ac:dyDescent="0.35">
      <c r="A95" s="1" t="s">
        <v>127</v>
      </c>
      <c r="B95" s="4">
        <v>24726</v>
      </c>
      <c r="C95" s="4">
        <v>22417</v>
      </c>
      <c r="E95" s="4">
        <v>20954</v>
      </c>
    </row>
    <row r="96" spans="1:5" x14ac:dyDescent="0.35">
      <c r="A96" s="1" t="s">
        <v>60</v>
      </c>
      <c r="B96" s="4">
        <v>0</v>
      </c>
      <c r="C96" s="4">
        <v>0</v>
      </c>
      <c r="E96" s="4">
        <v>201986</v>
      </c>
    </row>
    <row r="97" spans="1:5" x14ac:dyDescent="0.35">
      <c r="A97" s="1" t="s">
        <v>57</v>
      </c>
      <c r="B97" s="4">
        <v>247759</v>
      </c>
      <c r="C97" s="4">
        <v>217905</v>
      </c>
      <c r="E97" s="4">
        <v>212657</v>
      </c>
    </row>
    <row r="98" spans="1:5" x14ac:dyDescent="0.35">
      <c r="A98" s="1" t="s">
        <v>58</v>
      </c>
      <c r="B98" s="4">
        <v>222119</v>
      </c>
      <c r="C98" s="4">
        <v>222905</v>
      </c>
      <c r="E98" s="4">
        <v>213003</v>
      </c>
    </row>
    <row r="99" spans="1:5" x14ac:dyDescent="0.35">
      <c r="A99" s="1" t="s">
        <v>120</v>
      </c>
      <c r="B99" s="4">
        <v>27745</v>
      </c>
      <c r="C99" s="4">
        <v>24322</v>
      </c>
      <c r="E99" s="4">
        <v>22212</v>
      </c>
    </row>
    <row r="100" spans="1:5" x14ac:dyDescent="0.35">
      <c r="A100" s="1" t="s">
        <v>116</v>
      </c>
      <c r="B100" s="4">
        <v>29939</v>
      </c>
      <c r="C100" s="4">
        <v>27178</v>
      </c>
      <c r="E100" s="4">
        <v>22978</v>
      </c>
    </row>
    <row r="101" spans="1:5" x14ac:dyDescent="0.35">
      <c r="A101" s="1" t="s">
        <v>121</v>
      </c>
      <c r="B101" s="4">
        <v>27515</v>
      </c>
      <c r="C101" s="4">
        <v>25334</v>
      </c>
      <c r="E101" s="4">
        <v>23006</v>
      </c>
    </row>
    <row r="102" spans="1:5" x14ac:dyDescent="0.35">
      <c r="A102" s="1" t="s">
        <v>55</v>
      </c>
      <c r="B102" s="4">
        <v>265455</v>
      </c>
      <c r="C102" s="4">
        <v>279641</v>
      </c>
      <c r="E102" s="4">
        <v>232107</v>
      </c>
    </row>
    <row r="103" spans="1:5" x14ac:dyDescent="0.35">
      <c r="A103" s="1" t="s">
        <v>119</v>
      </c>
      <c r="B103" s="4">
        <v>27859</v>
      </c>
      <c r="C103" s="4">
        <v>25787</v>
      </c>
      <c r="E103" s="4">
        <v>24219</v>
      </c>
    </row>
    <row r="104" spans="1:5" x14ac:dyDescent="0.35">
      <c r="A104" s="1" t="s">
        <v>54</v>
      </c>
      <c r="B104" s="4">
        <v>282019</v>
      </c>
      <c r="C104" s="4">
        <v>257145</v>
      </c>
      <c r="E104" s="4">
        <v>243498</v>
      </c>
    </row>
    <row r="105" spans="1:5" x14ac:dyDescent="0.35">
      <c r="A105" s="1" t="s">
        <v>52</v>
      </c>
      <c r="B105" s="4">
        <v>288013</v>
      </c>
      <c r="C105" s="4">
        <v>263620</v>
      </c>
      <c r="E105" s="4">
        <v>247626</v>
      </c>
    </row>
    <row r="106" spans="1:5" x14ac:dyDescent="0.35">
      <c r="A106" s="1" t="s">
        <v>123</v>
      </c>
      <c r="B106" s="4">
        <v>26002</v>
      </c>
      <c r="C106" s="4">
        <v>26429</v>
      </c>
      <c r="E106" s="4">
        <v>25489</v>
      </c>
    </row>
    <row r="107" spans="1:5" x14ac:dyDescent="0.35">
      <c r="A107" s="1" t="s">
        <v>56</v>
      </c>
      <c r="B107" s="4">
        <v>262909</v>
      </c>
      <c r="C107" s="4">
        <v>260236</v>
      </c>
      <c r="E107" s="4">
        <v>252176</v>
      </c>
    </row>
    <row r="108" spans="1:5" x14ac:dyDescent="0.35">
      <c r="A108" s="1" t="s">
        <v>51</v>
      </c>
      <c r="B108" s="4">
        <v>300052</v>
      </c>
      <c r="C108" s="4">
        <v>288406</v>
      </c>
      <c r="E108" s="4">
        <v>264293</v>
      </c>
    </row>
    <row r="109" spans="1:5" x14ac:dyDescent="0.35">
      <c r="A109" s="1" t="s">
        <v>49</v>
      </c>
      <c r="B109" s="4">
        <v>318480</v>
      </c>
      <c r="C109" s="4">
        <v>289222</v>
      </c>
      <c r="E109" s="4">
        <v>267603</v>
      </c>
    </row>
    <row r="110" spans="1:5" x14ac:dyDescent="0.35">
      <c r="A110" s="1" t="s">
        <v>118</v>
      </c>
      <c r="B110" s="4" t="s">
        <v>229</v>
      </c>
      <c r="C110" s="4">
        <v>20079</v>
      </c>
      <c r="E110" s="4">
        <v>27464</v>
      </c>
    </row>
    <row r="111" spans="1:5" x14ac:dyDescent="0.35">
      <c r="A111" s="1" t="s">
        <v>113</v>
      </c>
      <c r="B111" s="4">
        <v>33237</v>
      </c>
      <c r="C111" s="4">
        <v>28343</v>
      </c>
      <c r="E111" s="4">
        <v>27515</v>
      </c>
    </row>
    <row r="112" spans="1:5" x14ac:dyDescent="0.35">
      <c r="A112" s="1" t="s">
        <v>117</v>
      </c>
      <c r="B112" s="4">
        <v>29369</v>
      </c>
      <c r="C112" s="4">
        <v>26326</v>
      </c>
      <c r="E112" s="4">
        <v>27578</v>
      </c>
    </row>
    <row r="113" spans="1:5" x14ac:dyDescent="0.35">
      <c r="A113" s="1" t="s">
        <v>2</v>
      </c>
      <c r="B113" s="4">
        <v>30615743</v>
      </c>
      <c r="C113" s="4">
        <v>29184890</v>
      </c>
      <c r="E113" s="4">
        <v>27720700</v>
      </c>
    </row>
    <row r="114" spans="1:5" x14ac:dyDescent="0.35">
      <c r="A114" s="1" t="s">
        <v>219</v>
      </c>
      <c r="B114" s="4">
        <v>302</v>
      </c>
      <c r="C114" s="4">
        <v>280</v>
      </c>
      <c r="E114" s="4">
        <v>270</v>
      </c>
    </row>
    <row r="115" spans="1:5" x14ac:dyDescent="0.35">
      <c r="A115" s="1" t="s">
        <v>217</v>
      </c>
      <c r="B115" s="4">
        <v>341</v>
      </c>
      <c r="C115" s="4">
        <v>282</v>
      </c>
      <c r="E115" s="4">
        <v>282</v>
      </c>
    </row>
    <row r="116" spans="1:5" x14ac:dyDescent="0.35">
      <c r="A116" s="1" t="s">
        <v>218</v>
      </c>
      <c r="B116" s="4">
        <v>321</v>
      </c>
      <c r="C116" s="4">
        <v>308</v>
      </c>
      <c r="E116" s="4">
        <v>289</v>
      </c>
    </row>
    <row r="117" spans="1:5" x14ac:dyDescent="0.35">
      <c r="A117" s="1" t="s">
        <v>48</v>
      </c>
      <c r="B117" s="4">
        <v>337936</v>
      </c>
      <c r="C117" s="4">
        <v>308683</v>
      </c>
      <c r="E117" s="4">
        <v>289114</v>
      </c>
    </row>
    <row r="118" spans="1:5" x14ac:dyDescent="0.35">
      <c r="A118" s="1" t="s">
        <v>135</v>
      </c>
      <c r="B118" s="4">
        <v>0</v>
      </c>
      <c r="C118" s="4">
        <v>19993</v>
      </c>
      <c r="E118" s="4">
        <v>29028</v>
      </c>
    </row>
    <row r="119" spans="1:5" x14ac:dyDescent="0.35">
      <c r="A119" s="1" t="s">
        <v>50</v>
      </c>
      <c r="B119" s="4">
        <v>314724</v>
      </c>
      <c r="C119" s="4">
        <v>299836</v>
      </c>
      <c r="E119" s="4">
        <v>295532</v>
      </c>
    </row>
    <row r="120" spans="1:5" x14ac:dyDescent="0.35">
      <c r="A120" s="1" t="s">
        <v>182</v>
      </c>
      <c r="B120" s="4">
        <v>3408</v>
      </c>
      <c r="C120" s="4">
        <v>3019</v>
      </c>
      <c r="E120" s="4">
        <v>3019</v>
      </c>
    </row>
    <row r="121" spans="1:5" x14ac:dyDescent="0.35">
      <c r="A121" s="1" t="s">
        <v>183</v>
      </c>
      <c r="B121" s="4">
        <v>0</v>
      </c>
      <c r="C121" s="4">
        <v>3327</v>
      </c>
      <c r="E121" s="4">
        <v>3041</v>
      </c>
    </row>
    <row r="122" spans="1:5" x14ac:dyDescent="0.35">
      <c r="A122" s="1" t="s">
        <v>8</v>
      </c>
      <c r="B122" s="4">
        <v>3361557</v>
      </c>
      <c r="C122" s="4">
        <v>3162079</v>
      </c>
      <c r="E122" s="4">
        <v>3051832</v>
      </c>
    </row>
    <row r="123" spans="1:5" x14ac:dyDescent="0.35">
      <c r="A123" s="1" t="s">
        <v>185</v>
      </c>
      <c r="B123" s="4">
        <v>3297</v>
      </c>
      <c r="C123" s="4">
        <v>3516</v>
      </c>
      <c r="E123" s="4">
        <v>3079</v>
      </c>
    </row>
    <row r="124" spans="1:5" x14ac:dyDescent="0.35">
      <c r="A124" s="1" t="s">
        <v>186</v>
      </c>
      <c r="B124" s="4">
        <v>0</v>
      </c>
      <c r="C124" s="4">
        <v>3281</v>
      </c>
      <c r="E124" s="4">
        <v>3281</v>
      </c>
    </row>
    <row r="125" spans="1:5" x14ac:dyDescent="0.35">
      <c r="A125" s="1" t="s">
        <v>7</v>
      </c>
      <c r="B125" s="4">
        <v>3958780</v>
      </c>
      <c r="C125" s="4">
        <v>3643834</v>
      </c>
      <c r="E125" s="4">
        <v>3380855</v>
      </c>
    </row>
    <row r="126" spans="1:5" x14ac:dyDescent="0.35">
      <c r="A126" s="1" t="s">
        <v>6</v>
      </c>
      <c r="B126" s="4">
        <v>4125213</v>
      </c>
      <c r="C126" s="4">
        <v>3912686</v>
      </c>
      <c r="E126" s="4">
        <v>3575778</v>
      </c>
    </row>
    <row r="127" spans="1:5" x14ac:dyDescent="0.35">
      <c r="A127" s="1" t="s">
        <v>180</v>
      </c>
      <c r="B127" s="4">
        <v>4319</v>
      </c>
      <c r="C127" s="4">
        <v>3649</v>
      </c>
      <c r="E127" s="4">
        <v>3649</v>
      </c>
    </row>
    <row r="128" spans="1:5" x14ac:dyDescent="0.35">
      <c r="A128" s="1" t="s">
        <v>178</v>
      </c>
      <c r="B128" s="4">
        <v>4496</v>
      </c>
      <c r="C128" s="4">
        <v>4714</v>
      </c>
      <c r="E128" s="4">
        <v>3759</v>
      </c>
    </row>
    <row r="129" spans="1:5" x14ac:dyDescent="0.35">
      <c r="A129" s="1" t="s">
        <v>179</v>
      </c>
      <c r="B129" s="4">
        <v>4408</v>
      </c>
      <c r="C129" s="4">
        <v>4040</v>
      </c>
      <c r="E129" s="4">
        <v>3785</v>
      </c>
    </row>
    <row r="130" spans="1:5" x14ac:dyDescent="0.35">
      <c r="A130" s="1" t="s">
        <v>169</v>
      </c>
      <c r="B130" s="4">
        <v>7025</v>
      </c>
      <c r="C130" s="4">
        <v>2162</v>
      </c>
      <c r="E130" s="4">
        <v>3960</v>
      </c>
    </row>
    <row r="131" spans="1:5" x14ac:dyDescent="0.35">
      <c r="A131" s="1" t="s">
        <v>97</v>
      </c>
      <c r="B131" s="4">
        <v>53310</v>
      </c>
      <c r="C131" s="4">
        <v>44188</v>
      </c>
      <c r="E131" s="4">
        <v>30368</v>
      </c>
    </row>
    <row r="132" spans="1:5" x14ac:dyDescent="0.35">
      <c r="A132" s="1" t="s">
        <v>110</v>
      </c>
      <c r="B132" s="4">
        <v>36839</v>
      </c>
      <c r="C132" s="4">
        <v>32267</v>
      </c>
      <c r="E132" s="4">
        <v>30408</v>
      </c>
    </row>
    <row r="133" spans="1:5" x14ac:dyDescent="0.35">
      <c r="A133" s="1" t="s">
        <v>109</v>
      </c>
      <c r="B133" s="4">
        <v>37403</v>
      </c>
      <c r="C133" s="4">
        <v>33776</v>
      </c>
      <c r="E133" s="4">
        <v>30536</v>
      </c>
    </row>
    <row r="134" spans="1:5" x14ac:dyDescent="0.35">
      <c r="A134" s="1" t="s">
        <v>114</v>
      </c>
      <c r="B134" s="4">
        <v>32714</v>
      </c>
      <c r="C134" s="4">
        <v>32538</v>
      </c>
      <c r="E134" s="4">
        <v>31020</v>
      </c>
    </row>
    <row r="135" spans="1:5" x14ac:dyDescent="0.35">
      <c r="A135" s="1" t="s">
        <v>108</v>
      </c>
      <c r="B135" s="4">
        <v>38386</v>
      </c>
      <c r="C135" s="4">
        <v>33463</v>
      </c>
      <c r="E135" s="4">
        <v>31325</v>
      </c>
    </row>
    <row r="136" spans="1:5" x14ac:dyDescent="0.35">
      <c r="A136" s="1" t="s">
        <v>106</v>
      </c>
      <c r="B136" s="4">
        <v>39943</v>
      </c>
      <c r="C136" s="4">
        <v>36333</v>
      </c>
      <c r="E136" s="4">
        <v>33887</v>
      </c>
    </row>
    <row r="137" spans="1:5" x14ac:dyDescent="0.35">
      <c r="A137" s="1" t="s">
        <v>46</v>
      </c>
      <c r="B137" s="4">
        <v>349264</v>
      </c>
      <c r="C137" s="4">
        <v>389050</v>
      </c>
      <c r="E137" s="4">
        <v>331590</v>
      </c>
    </row>
    <row r="138" spans="1:5" x14ac:dyDescent="0.35">
      <c r="A138" s="1" t="s">
        <v>47</v>
      </c>
      <c r="B138" s="4">
        <v>347174</v>
      </c>
      <c r="C138" s="4">
        <v>330267</v>
      </c>
      <c r="E138" s="4">
        <v>335533</v>
      </c>
    </row>
    <row r="139" spans="1:5" x14ac:dyDescent="0.35">
      <c r="A139" s="1" t="s">
        <v>43</v>
      </c>
      <c r="B139" s="4">
        <v>410495</v>
      </c>
      <c r="C139" s="4">
        <v>373072</v>
      </c>
      <c r="E139" s="4">
        <v>337900</v>
      </c>
    </row>
    <row r="140" spans="1:5" x14ac:dyDescent="0.35">
      <c r="A140" s="1" t="s">
        <v>111</v>
      </c>
      <c r="B140" s="4">
        <v>36587</v>
      </c>
      <c r="C140" s="4">
        <v>35365</v>
      </c>
      <c r="E140" s="4">
        <v>34016</v>
      </c>
    </row>
    <row r="141" spans="1:5" x14ac:dyDescent="0.35">
      <c r="A141" s="1" t="s">
        <v>112</v>
      </c>
      <c r="B141" s="4">
        <v>35897</v>
      </c>
      <c r="C141" s="4">
        <v>49910</v>
      </c>
      <c r="E141" s="4">
        <v>34021</v>
      </c>
    </row>
    <row r="142" spans="1:5" x14ac:dyDescent="0.35">
      <c r="A142" s="1" t="s">
        <v>107</v>
      </c>
      <c r="B142" s="4">
        <v>39445</v>
      </c>
      <c r="C142" s="4">
        <v>37094</v>
      </c>
      <c r="E142" s="4">
        <v>34401</v>
      </c>
    </row>
    <row r="143" spans="1:5" x14ac:dyDescent="0.35">
      <c r="A143" s="1" t="s">
        <v>44</v>
      </c>
      <c r="B143" s="4">
        <v>383384</v>
      </c>
      <c r="C143" s="4">
        <v>345037</v>
      </c>
      <c r="E143" s="4">
        <v>343208</v>
      </c>
    </row>
    <row r="144" spans="1:5" x14ac:dyDescent="0.35">
      <c r="A144" s="1" t="s">
        <v>42</v>
      </c>
      <c r="B144" s="4">
        <v>422508</v>
      </c>
      <c r="C144" s="4">
        <v>382768</v>
      </c>
      <c r="E144" s="4">
        <v>350776</v>
      </c>
    </row>
    <row r="145" spans="1:5" x14ac:dyDescent="0.35">
      <c r="A145" s="1" t="s">
        <v>39</v>
      </c>
      <c r="B145" s="4">
        <v>438121</v>
      </c>
      <c r="C145" s="4">
        <v>418542</v>
      </c>
      <c r="E145" s="4">
        <v>363540</v>
      </c>
    </row>
    <row r="146" spans="1:5" x14ac:dyDescent="0.35">
      <c r="A146" s="1" t="s">
        <v>216</v>
      </c>
      <c r="B146" s="4">
        <v>0</v>
      </c>
      <c r="C146" s="4">
        <v>0</v>
      </c>
      <c r="E146" s="4">
        <v>366</v>
      </c>
    </row>
    <row r="147" spans="1:5" x14ac:dyDescent="0.35">
      <c r="A147" s="1" t="s">
        <v>41</v>
      </c>
      <c r="B147" s="4">
        <v>426383</v>
      </c>
      <c r="C147" s="4">
        <v>400261</v>
      </c>
      <c r="E147" s="4">
        <v>377782</v>
      </c>
    </row>
    <row r="148" spans="1:5" x14ac:dyDescent="0.35">
      <c r="A148" s="1" t="s">
        <v>40</v>
      </c>
      <c r="B148" s="4">
        <v>428233</v>
      </c>
      <c r="C148" s="4">
        <v>407107</v>
      </c>
      <c r="E148" s="4">
        <v>380812</v>
      </c>
    </row>
    <row r="149" spans="1:5" x14ac:dyDescent="0.35">
      <c r="A149" s="1" t="s">
        <v>37</v>
      </c>
      <c r="B149" s="4">
        <v>470572</v>
      </c>
      <c r="C149" s="4">
        <v>421972</v>
      </c>
      <c r="E149" s="4">
        <v>399649</v>
      </c>
    </row>
    <row r="150" spans="1:5" x14ac:dyDescent="0.35">
      <c r="A150" s="1" t="s">
        <v>177</v>
      </c>
      <c r="B150" s="4">
        <v>4613</v>
      </c>
      <c r="C150" s="4">
        <v>4086</v>
      </c>
      <c r="E150" s="4">
        <v>4000</v>
      </c>
    </row>
    <row r="151" spans="1:5" x14ac:dyDescent="0.35">
      <c r="A151" s="1" t="s">
        <v>5</v>
      </c>
      <c r="B151" s="4">
        <v>4279828</v>
      </c>
      <c r="C151" s="4">
        <v>4026211</v>
      </c>
      <c r="E151" s="4">
        <v>4204495</v>
      </c>
    </row>
    <row r="152" spans="1:5" x14ac:dyDescent="0.35">
      <c r="A152" s="1" t="s">
        <v>4</v>
      </c>
      <c r="B152" s="4">
        <v>5013574</v>
      </c>
      <c r="C152" s="4">
        <v>4659929</v>
      </c>
      <c r="E152" s="4">
        <v>4525704</v>
      </c>
    </row>
    <row r="153" spans="1:5" x14ac:dyDescent="0.35">
      <c r="A153" s="1" t="s">
        <v>173</v>
      </c>
      <c r="B153" s="4">
        <v>5201</v>
      </c>
      <c r="C153" s="4">
        <v>4892</v>
      </c>
      <c r="E153" s="4">
        <v>4574</v>
      </c>
    </row>
    <row r="154" spans="1:5" x14ac:dyDescent="0.35">
      <c r="A154" s="1" t="s">
        <v>175</v>
      </c>
      <c r="B154" s="4">
        <v>4979</v>
      </c>
      <c r="C154" s="4">
        <v>0</v>
      </c>
      <c r="E154" s="4">
        <v>4629</v>
      </c>
    </row>
    <row r="155" spans="1:5" x14ac:dyDescent="0.35">
      <c r="A155" s="1" t="s">
        <v>105</v>
      </c>
      <c r="B155" s="4">
        <v>45513</v>
      </c>
      <c r="C155" s="4">
        <v>42914</v>
      </c>
      <c r="E155" s="4">
        <v>40484</v>
      </c>
    </row>
    <row r="156" spans="1:5" x14ac:dyDescent="0.35">
      <c r="A156" s="1" t="s">
        <v>45</v>
      </c>
      <c r="B156" s="4">
        <v>356513</v>
      </c>
      <c r="C156" s="4">
        <v>436906</v>
      </c>
      <c r="E156" s="4">
        <v>401596</v>
      </c>
    </row>
    <row r="157" spans="1:5" x14ac:dyDescent="0.35">
      <c r="A157" s="1" t="s">
        <v>38</v>
      </c>
      <c r="B157" s="4">
        <v>459612</v>
      </c>
      <c r="C157" s="4">
        <v>429457</v>
      </c>
      <c r="E157" s="4">
        <v>407092</v>
      </c>
    </row>
    <row r="158" spans="1:5" x14ac:dyDescent="0.35">
      <c r="A158" s="1" t="s">
        <v>104</v>
      </c>
      <c r="B158" s="4">
        <v>46763</v>
      </c>
      <c r="C158" s="4">
        <v>42765</v>
      </c>
      <c r="E158" s="4">
        <v>41291</v>
      </c>
    </row>
    <row r="159" spans="1:5" x14ac:dyDescent="0.35">
      <c r="A159" s="1" t="s">
        <v>215</v>
      </c>
      <c r="B159" s="4">
        <v>0</v>
      </c>
      <c r="C159" s="4">
        <v>0</v>
      </c>
      <c r="E159" s="4">
        <v>416</v>
      </c>
    </row>
    <row r="160" spans="1:5" x14ac:dyDescent="0.35">
      <c r="A160" s="1" t="s">
        <v>101</v>
      </c>
      <c r="B160" s="4">
        <v>47880</v>
      </c>
      <c r="C160" s="4">
        <v>43521</v>
      </c>
      <c r="E160" s="4">
        <v>42248</v>
      </c>
    </row>
    <row r="161" spans="1:5" x14ac:dyDescent="0.35">
      <c r="A161" s="1" t="s">
        <v>99</v>
      </c>
      <c r="B161" s="4">
        <v>48802</v>
      </c>
      <c r="C161" s="4">
        <v>46353</v>
      </c>
      <c r="E161" s="4">
        <v>42824</v>
      </c>
    </row>
    <row r="162" spans="1:5" x14ac:dyDescent="0.35">
      <c r="A162" s="1" t="s">
        <v>102</v>
      </c>
      <c r="B162" s="4">
        <v>47398</v>
      </c>
      <c r="C162" s="4">
        <v>44458</v>
      </c>
      <c r="E162" s="4">
        <v>42955</v>
      </c>
    </row>
    <row r="163" spans="1:5" x14ac:dyDescent="0.35">
      <c r="A163" s="1" t="s">
        <v>36</v>
      </c>
      <c r="B163" s="4">
        <v>475011</v>
      </c>
      <c r="C163" s="4">
        <v>450119</v>
      </c>
      <c r="E163" s="4">
        <v>422431</v>
      </c>
    </row>
    <row r="164" spans="1:5" x14ac:dyDescent="0.35">
      <c r="A164" s="1" t="s">
        <v>35</v>
      </c>
      <c r="B164" s="4">
        <v>484726</v>
      </c>
      <c r="C164" s="4">
        <v>476388</v>
      </c>
      <c r="E164" s="4">
        <v>429717</v>
      </c>
    </row>
    <row r="165" spans="1:5" x14ac:dyDescent="0.35">
      <c r="A165" s="1" t="s">
        <v>34</v>
      </c>
      <c r="B165" s="4">
        <v>494158</v>
      </c>
      <c r="C165" s="4">
        <v>461618</v>
      </c>
      <c r="E165" s="4">
        <v>437146</v>
      </c>
    </row>
    <row r="166" spans="1:5" x14ac:dyDescent="0.35">
      <c r="A166" s="1" t="s">
        <v>100</v>
      </c>
      <c r="B166" s="4">
        <v>47941</v>
      </c>
      <c r="C166" s="4">
        <v>46636</v>
      </c>
      <c r="E166" s="4">
        <v>44030</v>
      </c>
    </row>
    <row r="167" spans="1:5" x14ac:dyDescent="0.35">
      <c r="A167" s="1" t="s">
        <v>103</v>
      </c>
      <c r="B167" s="4">
        <v>47391</v>
      </c>
      <c r="C167" s="4">
        <v>47737</v>
      </c>
      <c r="E167" s="4">
        <v>44662</v>
      </c>
    </row>
    <row r="168" spans="1:5" x14ac:dyDescent="0.35">
      <c r="A168" s="1" t="s">
        <v>95</v>
      </c>
      <c r="B168" s="4">
        <v>57086</v>
      </c>
      <c r="C168" s="4">
        <v>49668</v>
      </c>
      <c r="E168" s="4">
        <v>45135</v>
      </c>
    </row>
    <row r="169" spans="1:5" x14ac:dyDescent="0.35">
      <c r="A169" s="1" t="s">
        <v>98</v>
      </c>
      <c r="B169" s="4">
        <v>52379</v>
      </c>
      <c r="C169" s="4">
        <v>50183</v>
      </c>
      <c r="E169" s="4">
        <v>45803</v>
      </c>
    </row>
    <row r="170" spans="1:5" x14ac:dyDescent="0.35">
      <c r="A170" s="1" t="s">
        <v>214</v>
      </c>
      <c r="B170" s="4">
        <v>495</v>
      </c>
      <c r="C170" s="4">
        <v>471</v>
      </c>
      <c r="E170" s="4">
        <v>460</v>
      </c>
    </row>
    <row r="171" spans="1:5" x14ac:dyDescent="0.35">
      <c r="A171" s="1" t="s">
        <v>94</v>
      </c>
      <c r="B171" s="4">
        <v>59069</v>
      </c>
      <c r="C171" s="4">
        <v>53410</v>
      </c>
      <c r="E171" s="4">
        <v>48541</v>
      </c>
    </row>
    <row r="172" spans="1:5" x14ac:dyDescent="0.35">
      <c r="A172" s="1" t="s">
        <v>33</v>
      </c>
      <c r="B172" s="4">
        <v>517102</v>
      </c>
      <c r="C172" s="4">
        <v>483727</v>
      </c>
      <c r="E172" s="4">
        <v>485311</v>
      </c>
    </row>
    <row r="173" spans="1:5" x14ac:dyDescent="0.35">
      <c r="A173" s="1" t="s">
        <v>92</v>
      </c>
      <c r="B173" s="4">
        <v>60577</v>
      </c>
      <c r="C173" s="4">
        <v>51327</v>
      </c>
      <c r="E173" s="4">
        <v>49279</v>
      </c>
    </row>
    <row r="174" spans="1:5" x14ac:dyDescent="0.35">
      <c r="A174" s="1" t="s">
        <v>174</v>
      </c>
      <c r="B174" s="4">
        <v>5182</v>
      </c>
      <c r="C174" s="4">
        <v>4750</v>
      </c>
      <c r="E174" s="4">
        <v>5039</v>
      </c>
    </row>
    <row r="175" spans="1:5" x14ac:dyDescent="0.35">
      <c r="A175" s="1" t="s">
        <v>172</v>
      </c>
      <c r="B175" s="4">
        <v>6336</v>
      </c>
      <c r="C175" s="4">
        <v>5841</v>
      </c>
      <c r="E175" s="4">
        <v>5442</v>
      </c>
    </row>
    <row r="176" spans="1:5" x14ac:dyDescent="0.35">
      <c r="A176" s="1" t="s">
        <v>96</v>
      </c>
      <c r="B176" s="4">
        <v>56157</v>
      </c>
      <c r="C176" s="4">
        <v>53352</v>
      </c>
      <c r="E176" s="4">
        <v>50814</v>
      </c>
    </row>
    <row r="177" spans="1:5" x14ac:dyDescent="0.35">
      <c r="A177" s="1" t="s">
        <v>29</v>
      </c>
      <c r="B177" s="4">
        <v>574185</v>
      </c>
      <c r="C177" s="4">
        <v>547387</v>
      </c>
      <c r="E177" s="4">
        <v>501428</v>
      </c>
    </row>
    <row r="178" spans="1:5" x14ac:dyDescent="0.35">
      <c r="A178" s="1" t="s">
        <v>213</v>
      </c>
      <c r="B178" s="4">
        <v>587</v>
      </c>
      <c r="C178" s="4">
        <v>509</v>
      </c>
      <c r="E178" s="4">
        <v>508</v>
      </c>
    </row>
    <row r="179" spans="1:5" x14ac:dyDescent="0.35">
      <c r="A179" s="1" t="s">
        <v>91</v>
      </c>
      <c r="B179" s="4">
        <v>64993</v>
      </c>
      <c r="C179" s="4">
        <v>53652</v>
      </c>
      <c r="E179" s="4">
        <v>51023</v>
      </c>
    </row>
    <row r="180" spans="1:5" x14ac:dyDescent="0.35">
      <c r="A180" s="1" t="s">
        <v>31</v>
      </c>
      <c r="B180" s="4">
        <v>566456</v>
      </c>
      <c r="C180" s="4">
        <v>521642</v>
      </c>
      <c r="E180" s="4">
        <v>511685</v>
      </c>
    </row>
    <row r="181" spans="1:5" x14ac:dyDescent="0.35">
      <c r="A181" s="1" t="s">
        <v>28</v>
      </c>
      <c r="B181" s="4">
        <v>610752</v>
      </c>
      <c r="C181" s="4">
        <v>540380</v>
      </c>
      <c r="E181" s="4">
        <v>513611</v>
      </c>
    </row>
    <row r="182" spans="1:5" x14ac:dyDescent="0.35">
      <c r="A182" s="1" t="s">
        <v>30</v>
      </c>
      <c r="B182" s="4">
        <v>569097</v>
      </c>
      <c r="C182" s="4">
        <v>537079</v>
      </c>
      <c r="E182" s="4">
        <v>514130</v>
      </c>
    </row>
    <row r="183" spans="1:5" x14ac:dyDescent="0.35">
      <c r="A183" s="1" t="s">
        <v>32</v>
      </c>
      <c r="B183" s="4">
        <v>558573</v>
      </c>
      <c r="C183" s="4">
        <v>526411</v>
      </c>
      <c r="E183" s="4">
        <v>514945</v>
      </c>
    </row>
    <row r="184" spans="1:5" x14ac:dyDescent="0.35">
      <c r="A184" s="1" t="s">
        <v>25</v>
      </c>
      <c r="B184" s="4">
        <v>708771</v>
      </c>
      <c r="C184" s="4">
        <v>577389</v>
      </c>
      <c r="E184" s="4">
        <v>551395</v>
      </c>
    </row>
    <row r="185" spans="1:5" x14ac:dyDescent="0.35">
      <c r="A185" s="1" t="s">
        <v>27</v>
      </c>
      <c r="B185" s="4">
        <v>662318</v>
      </c>
      <c r="C185" s="4">
        <v>610118</v>
      </c>
      <c r="E185" s="4">
        <v>584960</v>
      </c>
    </row>
    <row r="186" spans="1:5" x14ac:dyDescent="0.35">
      <c r="A186" s="1" t="s">
        <v>90</v>
      </c>
      <c r="B186" s="4">
        <v>72119</v>
      </c>
      <c r="C186" s="4">
        <v>64240</v>
      </c>
      <c r="E186" s="4">
        <v>59887</v>
      </c>
    </row>
    <row r="187" spans="1:5" x14ac:dyDescent="0.35">
      <c r="A187" s="1" t="s">
        <v>171</v>
      </c>
      <c r="B187" s="4">
        <v>0</v>
      </c>
      <c r="C187" s="4">
        <v>6402</v>
      </c>
      <c r="E187" s="4">
        <v>6398</v>
      </c>
    </row>
    <row r="188" spans="1:5" x14ac:dyDescent="0.35">
      <c r="A188" s="1" t="s">
        <v>164</v>
      </c>
      <c r="B188" s="4">
        <v>8639</v>
      </c>
      <c r="C188" s="4">
        <v>7548</v>
      </c>
      <c r="E188" s="4">
        <v>6412</v>
      </c>
    </row>
    <row r="189" spans="1:5" x14ac:dyDescent="0.35">
      <c r="A189" s="1" t="s">
        <v>165</v>
      </c>
      <c r="B189" s="4">
        <v>7676</v>
      </c>
      <c r="C189" s="4">
        <v>6975</v>
      </c>
      <c r="E189" s="4">
        <v>6591</v>
      </c>
    </row>
    <row r="190" spans="1:5" x14ac:dyDescent="0.35">
      <c r="A190" s="1" t="s">
        <v>166</v>
      </c>
      <c r="B190" s="4">
        <v>7559</v>
      </c>
      <c r="C190" s="4">
        <v>7165</v>
      </c>
      <c r="E190" s="4">
        <v>6721</v>
      </c>
    </row>
    <row r="191" spans="1:5" x14ac:dyDescent="0.35">
      <c r="A191" s="1" t="s">
        <v>93</v>
      </c>
      <c r="B191" s="4">
        <v>60561</v>
      </c>
      <c r="C191" s="4">
        <v>74080</v>
      </c>
      <c r="E191" s="4">
        <v>62084</v>
      </c>
    </row>
    <row r="192" spans="1:5" x14ac:dyDescent="0.35">
      <c r="A192" s="1" t="s">
        <v>24</v>
      </c>
      <c r="B192" s="4">
        <v>716980</v>
      </c>
      <c r="C192" s="4">
        <v>664564</v>
      </c>
      <c r="E192" s="4">
        <v>644783</v>
      </c>
    </row>
    <row r="193" spans="1:5" x14ac:dyDescent="0.35">
      <c r="A193" s="1" t="s">
        <v>26</v>
      </c>
      <c r="B193" s="4">
        <v>683371</v>
      </c>
      <c r="C193" s="4">
        <v>633267</v>
      </c>
      <c r="E193" s="4">
        <v>646075</v>
      </c>
    </row>
    <row r="194" spans="1:5" x14ac:dyDescent="0.35">
      <c r="A194" s="1" t="s">
        <v>211</v>
      </c>
      <c r="B194" s="4">
        <v>748</v>
      </c>
      <c r="C194" s="4">
        <v>689</v>
      </c>
      <c r="E194" s="4">
        <v>651</v>
      </c>
    </row>
    <row r="195" spans="1:5" x14ac:dyDescent="0.35">
      <c r="A195" s="1" t="s">
        <v>222</v>
      </c>
      <c r="B195" s="4">
        <v>58</v>
      </c>
      <c r="C195" s="4">
        <v>62</v>
      </c>
      <c r="E195" s="4">
        <v>68</v>
      </c>
    </row>
    <row r="196" spans="1:5" x14ac:dyDescent="0.35">
      <c r="A196" s="1" t="s">
        <v>209</v>
      </c>
      <c r="B196" s="4">
        <v>976</v>
      </c>
      <c r="C196" s="4">
        <v>764</v>
      </c>
      <c r="E196" s="4">
        <v>684</v>
      </c>
    </row>
    <row r="197" spans="1:5" x14ac:dyDescent="0.35">
      <c r="A197" s="1" t="s">
        <v>88</v>
      </c>
      <c r="B197" s="4">
        <v>79221</v>
      </c>
      <c r="C197" s="4">
        <v>72485</v>
      </c>
      <c r="E197" s="4">
        <v>69148</v>
      </c>
    </row>
    <row r="198" spans="1:5" x14ac:dyDescent="0.35">
      <c r="A198" s="1" t="s">
        <v>87</v>
      </c>
      <c r="B198" s="4">
        <v>82262</v>
      </c>
      <c r="C198" s="4">
        <v>70749</v>
      </c>
      <c r="E198" s="4">
        <v>69338</v>
      </c>
    </row>
    <row r="199" spans="1:5" x14ac:dyDescent="0.35">
      <c r="A199" s="1" t="s">
        <v>168</v>
      </c>
      <c r="B199" s="4">
        <v>0</v>
      </c>
      <c r="C199" s="4">
        <v>7139</v>
      </c>
      <c r="E199" s="4">
        <v>7127</v>
      </c>
    </row>
    <row r="200" spans="1:5" x14ac:dyDescent="0.35">
      <c r="A200" s="1" t="s">
        <v>162</v>
      </c>
      <c r="B200" s="4">
        <v>9353</v>
      </c>
      <c r="C200" s="4">
        <v>8070</v>
      </c>
      <c r="E200" s="4">
        <v>7530</v>
      </c>
    </row>
    <row r="201" spans="1:5" x14ac:dyDescent="0.35">
      <c r="A201" s="1" t="s">
        <v>161</v>
      </c>
      <c r="B201" s="4">
        <v>9424</v>
      </c>
      <c r="C201" s="4">
        <v>8288</v>
      </c>
      <c r="E201" s="4">
        <v>7965</v>
      </c>
    </row>
    <row r="202" spans="1:5" x14ac:dyDescent="0.35">
      <c r="A202" s="1" t="s">
        <v>84</v>
      </c>
      <c r="B202" s="4">
        <v>85739</v>
      </c>
      <c r="C202" s="4">
        <v>75962</v>
      </c>
      <c r="E202" s="4">
        <v>71857</v>
      </c>
    </row>
    <row r="203" spans="1:5" x14ac:dyDescent="0.35">
      <c r="A203" s="1" t="s">
        <v>89</v>
      </c>
      <c r="B203" s="4">
        <v>76390</v>
      </c>
      <c r="C203" s="4">
        <v>74316</v>
      </c>
      <c r="E203" s="4">
        <v>72356</v>
      </c>
    </row>
    <row r="204" spans="1:5" x14ac:dyDescent="0.35">
      <c r="A204" s="1" t="s">
        <v>78</v>
      </c>
      <c r="B204" s="4">
        <v>100048</v>
      </c>
      <c r="C204" s="4">
        <v>89084</v>
      </c>
      <c r="E204" s="4">
        <v>75187</v>
      </c>
    </row>
    <row r="205" spans="1:5" x14ac:dyDescent="0.35">
      <c r="A205" s="1" t="s">
        <v>72</v>
      </c>
      <c r="B205" s="4">
        <v>111963</v>
      </c>
      <c r="C205" s="4">
        <v>82825</v>
      </c>
      <c r="E205" s="4">
        <v>76370</v>
      </c>
    </row>
    <row r="206" spans="1:5" x14ac:dyDescent="0.35">
      <c r="A206" s="1" t="s">
        <v>85</v>
      </c>
      <c r="B206" s="4">
        <v>84986</v>
      </c>
      <c r="C206" s="4">
        <v>80962</v>
      </c>
      <c r="E206" s="4">
        <v>77236</v>
      </c>
    </row>
    <row r="207" spans="1:5" x14ac:dyDescent="0.35">
      <c r="A207" s="1" t="s">
        <v>83</v>
      </c>
      <c r="B207" s="4">
        <v>87444</v>
      </c>
      <c r="C207" s="4">
        <v>78780</v>
      </c>
      <c r="E207" s="4">
        <v>78353</v>
      </c>
    </row>
    <row r="208" spans="1:5" x14ac:dyDescent="0.35">
      <c r="A208" s="1" t="s">
        <v>79</v>
      </c>
      <c r="B208" s="4">
        <v>99207</v>
      </c>
      <c r="C208" s="4">
        <v>86538</v>
      </c>
      <c r="E208" s="4">
        <v>78789</v>
      </c>
    </row>
    <row r="209" spans="1:5" x14ac:dyDescent="0.35">
      <c r="A209" s="1" t="s">
        <v>81</v>
      </c>
      <c r="B209" s="4">
        <v>95274</v>
      </c>
      <c r="C209" s="4">
        <v>84869</v>
      </c>
      <c r="E209" s="4">
        <v>79790</v>
      </c>
    </row>
    <row r="210" spans="1:5" x14ac:dyDescent="0.35">
      <c r="A210" s="1" t="s">
        <v>163</v>
      </c>
      <c r="B210" s="4">
        <v>0</v>
      </c>
      <c r="C210" s="4">
        <v>8980</v>
      </c>
      <c r="E210" s="4">
        <v>8142</v>
      </c>
    </row>
    <row r="211" spans="1:5" x14ac:dyDescent="0.35">
      <c r="A211" s="1" t="s">
        <v>141</v>
      </c>
      <c r="B211" s="4">
        <v>0</v>
      </c>
      <c r="C211" s="4">
        <v>0</v>
      </c>
      <c r="E211" s="4">
        <v>8758</v>
      </c>
    </row>
    <row r="212" spans="1:5" x14ac:dyDescent="0.35">
      <c r="A212" s="1" t="s">
        <v>221</v>
      </c>
      <c r="B212" s="4">
        <v>0</v>
      </c>
      <c r="C212" s="4">
        <v>0</v>
      </c>
      <c r="E212" s="4">
        <v>80</v>
      </c>
    </row>
    <row r="213" spans="1:5" x14ac:dyDescent="0.35">
      <c r="A213" s="1" t="s">
        <v>21</v>
      </c>
      <c r="B213" s="4">
        <v>1039619</v>
      </c>
      <c r="C213" s="4">
        <v>914696</v>
      </c>
      <c r="E213" s="4">
        <v>809201</v>
      </c>
    </row>
    <row r="214" spans="1:5" x14ac:dyDescent="0.35">
      <c r="A214" s="1" t="s">
        <v>82</v>
      </c>
      <c r="B214" s="4">
        <v>90408</v>
      </c>
      <c r="C214" s="4">
        <v>86260</v>
      </c>
      <c r="E214" s="4">
        <v>83382</v>
      </c>
    </row>
    <row r="215" spans="1:5" x14ac:dyDescent="0.35">
      <c r="A215" s="1" t="s">
        <v>80</v>
      </c>
      <c r="B215" s="4" t="s">
        <v>230</v>
      </c>
      <c r="C215" s="4">
        <v>98963</v>
      </c>
      <c r="E215" s="4">
        <v>84364</v>
      </c>
    </row>
    <row r="216" spans="1:5" x14ac:dyDescent="0.35">
      <c r="A216" s="1" t="s">
        <v>75</v>
      </c>
      <c r="B216" s="4">
        <v>103901</v>
      </c>
      <c r="C216" s="4">
        <v>92526</v>
      </c>
      <c r="E216" s="4">
        <v>84391</v>
      </c>
    </row>
    <row r="217" spans="1:5" x14ac:dyDescent="0.35">
      <c r="A217" s="1" t="s">
        <v>77</v>
      </c>
      <c r="B217" s="4">
        <v>100642</v>
      </c>
      <c r="C217" s="4">
        <v>93197</v>
      </c>
      <c r="E217" s="4">
        <v>85755</v>
      </c>
    </row>
    <row r="218" spans="1:5" x14ac:dyDescent="0.35">
      <c r="A218" s="1" t="s">
        <v>76</v>
      </c>
      <c r="B218" s="4">
        <v>102637</v>
      </c>
      <c r="C218" s="4">
        <v>95350</v>
      </c>
      <c r="E218" s="4">
        <v>86498</v>
      </c>
    </row>
    <row r="219" spans="1:5" x14ac:dyDescent="0.35">
      <c r="A219" s="1" t="s">
        <v>22</v>
      </c>
      <c r="B219" s="4">
        <v>1002666</v>
      </c>
      <c r="C219" s="4">
        <v>936564</v>
      </c>
      <c r="E219" s="4">
        <v>894425</v>
      </c>
    </row>
    <row r="220" spans="1:5" x14ac:dyDescent="0.35">
      <c r="A220" s="1" t="s">
        <v>158</v>
      </c>
      <c r="B220" s="4">
        <v>10951</v>
      </c>
      <c r="C220" s="4">
        <v>9926</v>
      </c>
      <c r="E220" s="4">
        <v>9278</v>
      </c>
    </row>
    <row r="221" spans="1:5" x14ac:dyDescent="0.35">
      <c r="A221" s="1" t="s">
        <v>159</v>
      </c>
      <c r="B221" s="4">
        <v>0</v>
      </c>
      <c r="C221" s="4">
        <v>9995</v>
      </c>
      <c r="E221" s="4">
        <v>9995</v>
      </c>
    </row>
    <row r="222" spans="1:5" x14ac:dyDescent="0.35">
      <c r="A222" s="1" t="s">
        <v>71</v>
      </c>
      <c r="B222" s="4">
        <v>115167</v>
      </c>
      <c r="C222" s="4">
        <v>80397</v>
      </c>
      <c r="E222" s="4">
        <v>90552</v>
      </c>
    </row>
    <row r="223" spans="1:5" x14ac:dyDescent="0.35">
      <c r="A223" s="1" t="s">
        <v>64</v>
      </c>
      <c r="B223" s="4">
        <v>137.47999999999999</v>
      </c>
      <c r="C223" s="4">
        <v>114965</v>
      </c>
      <c r="E223" s="4">
        <v>90889</v>
      </c>
    </row>
    <row r="224" spans="1:5" x14ac:dyDescent="0.35">
      <c r="A224" s="1"/>
      <c r="C224" s="5"/>
      <c r="D224" s="5"/>
    </row>
    <row r="225" spans="1:1" x14ac:dyDescent="0.35">
      <c r="A22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CCC8-BDB4-47B3-B76E-53E8CD885484}">
  <dimension ref="A3:C8"/>
  <sheetViews>
    <sheetView zoomScale="115" zoomScaleNormal="115" workbookViewId="0"/>
  </sheetViews>
  <sheetFormatPr defaultRowHeight="14.5" x14ac:dyDescent="0.35"/>
  <cols>
    <col min="1" max="1" width="14.1796875" bestFit="1" customWidth="1"/>
    <col min="2" max="2" width="25.7265625" bestFit="1" customWidth="1"/>
    <col min="3" max="3" width="22.90625" bestFit="1" customWidth="1"/>
    <col min="4" max="4" width="16.1796875" bestFit="1" customWidth="1"/>
    <col min="5" max="13" width="4.1796875" bestFit="1" customWidth="1"/>
    <col min="14" max="60" width="5.1796875" bestFit="1" customWidth="1"/>
    <col min="61" max="142" width="6.26953125" bestFit="1" customWidth="1"/>
    <col min="143" max="192" width="7.36328125" bestFit="1" customWidth="1"/>
    <col min="193" max="209" width="8.453125" bestFit="1" customWidth="1"/>
    <col min="210" max="211" width="9.54296875" bestFit="1" customWidth="1"/>
    <col min="212" max="212" width="10.54296875" bestFit="1" customWidth="1"/>
    <col min="213" max="213" width="6.81640625" bestFit="1" customWidth="1"/>
    <col min="214" max="214" width="10.81640625" bestFit="1" customWidth="1"/>
  </cols>
  <sheetData>
    <row r="3" spans="1:3" x14ac:dyDescent="0.35">
      <c r="A3" s="2" t="s">
        <v>226</v>
      </c>
      <c r="B3" t="s">
        <v>232</v>
      </c>
      <c r="C3" t="s">
        <v>231</v>
      </c>
    </row>
    <row r="4" spans="1:3" x14ac:dyDescent="0.35">
      <c r="A4" s="3" t="s">
        <v>3</v>
      </c>
      <c r="B4" s="6">
        <v>17794782</v>
      </c>
      <c r="C4" s="6">
        <v>18743803</v>
      </c>
    </row>
    <row r="5" spans="1:3" x14ac:dyDescent="0.35">
      <c r="A5" s="3" t="s">
        <v>4</v>
      </c>
      <c r="B5" s="6">
        <v>4525704</v>
      </c>
      <c r="C5" s="6">
        <v>4659929</v>
      </c>
    </row>
    <row r="6" spans="1:3" x14ac:dyDescent="0.35">
      <c r="A6" s="3" t="s">
        <v>7</v>
      </c>
      <c r="B6" s="6">
        <v>3380855</v>
      </c>
      <c r="C6" s="6">
        <v>3643834</v>
      </c>
    </row>
    <row r="7" spans="1:3" x14ac:dyDescent="0.35">
      <c r="A7" s="3" t="s">
        <v>2</v>
      </c>
      <c r="B7" s="6">
        <v>27720700</v>
      </c>
      <c r="C7" s="6">
        <v>29184890</v>
      </c>
    </row>
    <row r="8" spans="1:3" x14ac:dyDescent="0.35">
      <c r="A8" s="3" t="s">
        <v>227</v>
      </c>
      <c r="B8" s="6">
        <v>53422041</v>
      </c>
      <c r="C8" s="6">
        <v>56232456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C0DA7-5339-47F4-90A4-FB18D0DE7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Start_Here</vt:lpstr>
      <vt:lpstr>GDP forecast or estimate (milli</vt:lpstr>
      <vt:lpstr>Dashboard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2025-11-25T10:00:37Z</dcterms:created>
  <dcterms:modified xsi:type="dcterms:W3CDTF">2025-11-25T11:29:37Z</dcterms:modified>
</cp:coreProperties>
</file>