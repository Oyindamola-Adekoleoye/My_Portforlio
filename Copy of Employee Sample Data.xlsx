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DD09F0A6-013A-42D9-A3F3-A448337B5247}" xr6:coauthVersionLast="47" xr6:coauthVersionMax="47" xr10:uidLastSave="{00000000-0000-0000-0000-000000000000}"/>
  <bookViews>
    <workbookView xWindow="-110" yWindow="-110" windowWidth="19420" windowHeight="10300" xr2:uid="{65C14963-D7D9-489F-85DF-B390E3AF6B64}"/>
  </bookViews>
  <sheets>
    <sheet name="Dashboard" sheetId="4" r:id="rId1"/>
    <sheet name="Sheet2" sheetId="3" r:id="rId2"/>
    <sheet name="Data" sheetId="1" r:id="rId3"/>
  </sheets>
  <definedNames>
    <definedName name="Slicer_AgeBracket">#N/A</definedName>
    <definedName name="Slicer_Gender">#N/A</definedName>
    <definedName name="Slicer_Job_Title">#N/A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alcChain>
</file>

<file path=xl/sharedStrings.xml><?xml version="1.0" encoding="utf-8"?>
<sst xmlns="http://schemas.openxmlformats.org/spreadsheetml/2006/main" count="9956" uniqueCount="1994">
  <si>
    <t>EEID</t>
  </si>
  <si>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</si>
  <si>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</si>
  <si>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</si>
  <si>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</si>
  <si>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</si>
  <si>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</si>
  <si>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</si>
  <si>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</si>
  <si>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</si>
  <si>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</si>
  <si>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</si>
  <si>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</si>
  <si>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</si>
  <si>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</si>
  <si>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</si>
  <si>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</si>
  <si>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</si>
  <si>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</si>
  <si>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</si>
  <si>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</si>
  <si>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</si>
  <si>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</si>
  <si>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</si>
  <si>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</si>
  <si>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</si>
  <si>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</si>
  <si>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</si>
  <si>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</si>
  <si>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</si>
  <si>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</si>
  <si>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</si>
  <si>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</si>
  <si>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</si>
  <si>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</si>
  <si>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</si>
  <si>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</si>
  <si>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</si>
  <si>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</si>
  <si>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</si>
  <si>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</si>
  <si>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</si>
  <si>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Sr. Analyst</t>
  </si>
  <si>
    <t>Marketing</t>
  </si>
  <si>
    <t>Speciality Products</t>
  </si>
  <si>
    <t>Miami</t>
  </si>
  <si>
    <t>E00530</t>
  </si>
  <si>
    <t>Black</t>
  </si>
  <si>
    <t>E04380</t>
  </si>
  <si>
    <t>Sr. Account Representative</t>
  </si>
  <si>
    <t>Sales</t>
  </si>
  <si>
    <t>Latino</t>
  </si>
  <si>
    <t>Brazil</t>
  </si>
  <si>
    <t>Sao Paulo</t>
  </si>
  <si>
    <t>E01994</t>
  </si>
  <si>
    <t>Technical Architect</t>
  </si>
  <si>
    <t>Computer Systems Manager</t>
  </si>
  <si>
    <t>E02572</t>
  </si>
  <si>
    <t>Test Engineer</t>
  </si>
  <si>
    <t>Automation Engineer</t>
  </si>
  <si>
    <t>Beijing</t>
  </si>
  <si>
    <t>Sr. Manger</t>
  </si>
  <si>
    <t>Manager</t>
  </si>
  <si>
    <t>Seattle</t>
  </si>
  <si>
    <t>Analyst II</t>
  </si>
  <si>
    <t>Accounting</t>
  </si>
  <si>
    <t>Rio de Janerio</t>
  </si>
  <si>
    <t>Axel Santos</t>
  </si>
  <si>
    <t>Analyst</t>
  </si>
  <si>
    <t>Operations Engineer</t>
  </si>
  <si>
    <t>E01927</t>
  </si>
  <si>
    <t>Network Architect</t>
  </si>
  <si>
    <t>Adeline Huang</t>
  </si>
  <si>
    <t>IT Coordinator</t>
  </si>
  <si>
    <t>Shanghai</t>
  </si>
  <si>
    <t>E03292</t>
  </si>
  <si>
    <t>Systems Analyst</t>
  </si>
  <si>
    <t>Sr. Business Partner</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</si>
  <si>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</si>
  <si>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</si>
  <si>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</si>
  <si>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</si>
  <si>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</si>
  <si>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</si>
  <si>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</si>
  <si>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</si>
  <si>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</si>
  <si>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</si>
  <si>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</si>
  <si>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</si>
  <si>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</si>
  <si>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</si>
  <si>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</si>
  <si>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</si>
  <si>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</si>
  <si>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</si>
  <si>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</si>
  <si>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</si>
  <si>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System Administrator </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</si>
  <si>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</si>
  <si>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</si>
  <si>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</si>
  <si>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</si>
  <si>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</si>
  <si>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</si>
  <si>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</si>
  <si>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</si>
  <si>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</si>
  <si>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</si>
  <si>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</si>
  <si>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</si>
  <si>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</si>
  <si>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</si>
  <si>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</si>
  <si>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</si>
  <si>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</si>
  <si>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</si>
  <si>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</si>
  <si>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</si>
  <si>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</si>
  <si>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</si>
  <si>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</si>
  <si>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</si>
  <si>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</si>
  <si>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</si>
  <si>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</si>
  <si>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</si>
  <si>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</si>
  <si>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</si>
  <si>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</si>
  <si>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</si>
  <si>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</si>
  <si>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</si>
  <si>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</si>
  <si>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</si>
  <si>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</si>
  <si>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</si>
  <si>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</si>
  <si>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</si>
  <si>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</si>
  <si>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</si>
  <si>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</si>
  <si>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</si>
  <si>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</si>
  <si>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</si>
  <si>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</si>
  <si>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</si>
  <si>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</si>
  <si>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</si>
  <si>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</si>
  <si>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</si>
  <si>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</si>
  <si>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</si>
  <si>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</si>
  <si>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</si>
  <si>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</si>
  <si>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</si>
  <si>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</si>
  <si>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</si>
  <si>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</si>
  <si>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</si>
  <si>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</si>
  <si>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</si>
  <si>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</si>
  <si>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</si>
  <si>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</si>
  <si>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</si>
  <si>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</si>
  <si>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</si>
  <si>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</si>
  <si>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</si>
  <si>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</si>
  <si>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</si>
  <si>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</si>
  <si>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</si>
  <si>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</si>
  <si>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</si>
  <si>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</si>
  <si>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</si>
  <si>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</si>
  <si>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</si>
  <si>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</si>
  <si>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</si>
  <si>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</si>
  <si>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</si>
  <si>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</si>
  <si>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</si>
  <si>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</si>
  <si>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</si>
  <si>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</si>
  <si>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</si>
  <si>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</si>
  <si>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</si>
  <si>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</si>
  <si>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</si>
  <si>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</si>
  <si>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</si>
  <si>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</si>
  <si>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</si>
  <si>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</si>
  <si>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</si>
  <si>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</si>
  <si>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</si>
  <si>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</si>
  <si>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</si>
  <si>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</si>
  <si>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</si>
  <si>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</si>
  <si>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</si>
  <si>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</si>
  <si>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</si>
  <si>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</si>
  <si>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</si>
  <si>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</si>
  <si>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</si>
  <si>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</si>
  <si>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</si>
  <si>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</si>
  <si>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</si>
  <si>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</si>
  <si>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</si>
  <si>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</si>
  <si>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</si>
  <si>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</si>
  <si>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</si>
  <si>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</si>
  <si>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</si>
  <si>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</si>
  <si>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</si>
  <si>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</si>
  <si>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</si>
  <si>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</si>
  <si>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</si>
  <si>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</si>
  <si>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</si>
  <si>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</si>
  <si>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</si>
  <si>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</si>
  <si>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</si>
  <si>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</si>
  <si>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</si>
  <si>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</si>
  <si>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</si>
  <si>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</si>
  <si>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</si>
  <si>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</si>
  <si>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</si>
  <si>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</si>
  <si>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</si>
  <si>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</si>
  <si>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</si>
  <si>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</si>
  <si>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</si>
  <si>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</si>
  <si>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</si>
  <si>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</si>
  <si>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</si>
  <si>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</si>
  <si>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</si>
  <si>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</si>
  <si>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</si>
  <si>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</si>
  <si>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</si>
  <si>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</si>
  <si>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</si>
  <si>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</si>
  <si>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</si>
  <si>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</si>
  <si>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</si>
  <si>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</si>
  <si>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</si>
  <si>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</si>
  <si>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</si>
  <si>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</si>
  <si>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</si>
  <si>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</si>
  <si>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</si>
  <si>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</si>
  <si>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</si>
  <si>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</si>
  <si>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</si>
  <si>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</si>
  <si>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</si>
  <si>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</si>
  <si>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</si>
  <si>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</si>
  <si>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</si>
  <si>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</si>
  <si>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</si>
  <si>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</si>
  <si>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</si>
  <si>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</si>
  <si>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</si>
  <si>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</si>
  <si>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</si>
  <si>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</si>
  <si>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</si>
  <si>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</si>
  <si>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</si>
  <si>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</si>
  <si>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</si>
  <si>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</si>
  <si>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</si>
  <si>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</si>
  <si>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</si>
  <si>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</si>
  <si>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</si>
  <si>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</si>
  <si>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</si>
  <si>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</si>
  <si>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</si>
  <si>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</si>
  <si>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</si>
  <si>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</si>
  <si>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</si>
  <si>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</si>
  <si>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</si>
  <si>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</si>
  <si>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</si>
  <si>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</si>
  <si>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</si>
  <si>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</si>
  <si>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</si>
  <si>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</si>
  <si>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</si>
  <si>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</si>
  <si>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</si>
  <si>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</si>
  <si>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</si>
  <si>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</si>
  <si>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</si>
  <si>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</si>
  <si>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</si>
  <si>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</si>
  <si>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</si>
  <si>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</si>
  <si>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</si>
  <si>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</si>
  <si>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</si>
  <si>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</si>
  <si>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</si>
  <si>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</si>
  <si>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</si>
  <si>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</si>
  <si>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</si>
  <si>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</si>
  <si>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</si>
  <si>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</si>
  <si>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</si>
  <si>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</si>
  <si>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</si>
  <si>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</si>
  <si>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</si>
  <si>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</si>
  <si>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</si>
  <si>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</si>
  <si>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</si>
  <si>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</si>
  <si>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</si>
  <si>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</si>
  <si>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</si>
  <si>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</si>
  <si>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</si>
  <si>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</si>
  <si>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</si>
  <si>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</si>
  <si>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</si>
  <si>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</si>
  <si>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</si>
  <si>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</si>
  <si>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</si>
  <si>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</si>
  <si>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</si>
  <si>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</si>
  <si>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</si>
  <si>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</si>
  <si>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</si>
  <si>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</si>
  <si>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</si>
  <si>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</si>
  <si>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</si>
  <si>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</si>
  <si>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</si>
  <si>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</si>
  <si>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</si>
  <si>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</si>
  <si>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</si>
  <si>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</si>
  <si>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</si>
  <si>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</si>
  <si>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</si>
  <si>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</si>
  <si>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</si>
  <si>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</si>
  <si>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</si>
  <si>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</si>
  <si>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</si>
  <si>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</si>
  <si>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</si>
  <si>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</si>
  <si>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</si>
  <si>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</si>
  <si>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</si>
  <si>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</si>
  <si>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</si>
  <si>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</si>
  <si>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</si>
  <si>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</si>
  <si>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</si>
  <si>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</si>
  <si>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</si>
  <si>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</si>
  <si>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</si>
  <si>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</si>
  <si>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</si>
  <si>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</si>
  <si>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</si>
  <si>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</si>
  <si>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</si>
  <si>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</si>
  <si>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</si>
  <si>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</si>
  <si>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</si>
  <si>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</si>
  <si>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</si>
  <si>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</si>
  <si>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</si>
  <si>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</si>
  <si>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</si>
  <si>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</si>
  <si>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</si>
  <si>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</si>
  <si>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</si>
  <si>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</si>
  <si>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</si>
  <si>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</si>
  <si>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</si>
  <si>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</si>
  <si>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</si>
  <si>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</si>
  <si>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</si>
  <si>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</si>
  <si>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</si>
  <si>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</si>
  <si>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</si>
  <si>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</si>
  <si>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</si>
  <si>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</si>
  <si>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</si>
  <si>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</si>
  <si>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</si>
  <si>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</si>
  <si>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</si>
  <si>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</si>
  <si>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</si>
  <si>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</si>
  <si>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</si>
  <si>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</si>
  <si>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</si>
  <si>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</si>
  <si>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</si>
  <si>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</si>
  <si>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</si>
  <si>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</si>
  <si>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</si>
  <si>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</si>
  <si>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</si>
  <si>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</si>
  <si>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</si>
  <si>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</si>
  <si>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</si>
  <si>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</si>
  <si>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</si>
  <si>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</si>
  <si>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</si>
  <si>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</si>
  <si>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</si>
  <si>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</si>
  <si>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</si>
  <si>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</si>
  <si>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</si>
  <si>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</si>
  <si>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</si>
  <si>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</si>
  <si>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</si>
  <si>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</si>
  <si>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</si>
  <si>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</si>
  <si>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</si>
  <si>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</si>
  <si>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</si>
  <si>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</si>
  <si>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</si>
  <si>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</si>
  <si>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</si>
  <si>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</si>
  <si>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</si>
  <si>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</si>
  <si>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</si>
  <si>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</si>
  <si>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</si>
  <si>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</si>
  <si>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</si>
  <si>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</si>
  <si>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</si>
  <si>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</si>
  <si>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</si>
  <si>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</si>
  <si>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</si>
  <si>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</si>
  <si>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</si>
  <si>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</si>
  <si>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</si>
  <si>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</si>
  <si>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</si>
  <si>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</si>
  <si>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</si>
  <si>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</si>
  <si>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</si>
  <si>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</si>
  <si>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</si>
  <si>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</si>
  <si>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</si>
  <si>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</si>
  <si>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</si>
  <si>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</si>
  <si>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</si>
  <si>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</si>
  <si>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</si>
  <si>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</si>
  <si>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</si>
  <si>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</si>
  <si>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</si>
  <si>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</si>
  <si>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</si>
  <si>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</si>
  <si>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</si>
  <si>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</si>
  <si>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</si>
  <si>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</si>
  <si>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</si>
  <si>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</si>
  <si>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</si>
  <si>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</si>
  <si>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</si>
  <si>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</si>
  <si>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</si>
  <si>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</si>
  <si>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</si>
  <si>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</si>
  <si>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</si>
  <si>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</si>
  <si>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</si>
  <si>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</si>
  <si>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</si>
  <si>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</si>
  <si>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</si>
  <si>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</si>
  <si>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</si>
  <si>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</si>
  <si>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</si>
  <si>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</si>
  <si>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</si>
  <si>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</si>
  <si>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</si>
  <si>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</si>
  <si>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</si>
  <si>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</si>
  <si>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</si>
  <si>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</si>
  <si>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</si>
  <si>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</si>
  <si>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</si>
  <si>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</si>
  <si>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</si>
  <si>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</si>
  <si>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</si>
  <si>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</si>
  <si>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</si>
  <si>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</si>
  <si>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</si>
  <si>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</si>
  <si>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</si>
  <si>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</si>
  <si>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</si>
  <si>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</si>
  <si>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</si>
  <si>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</si>
  <si>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</si>
  <si>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</si>
  <si>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</si>
  <si>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</si>
  <si>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</si>
  <si>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</si>
  <si>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</si>
  <si>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</si>
  <si>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</si>
  <si>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</si>
  <si>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</si>
  <si>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</si>
  <si>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</si>
  <si>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</si>
  <si>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</si>
  <si>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</si>
  <si>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</si>
  <si>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</si>
  <si>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</si>
  <si>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</si>
  <si>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</si>
  <si>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</si>
  <si>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</si>
  <si>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</si>
  <si>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</si>
  <si>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</si>
  <si>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</si>
  <si>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</si>
  <si>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</si>
  <si>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</si>
  <si>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</si>
  <si>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</si>
  <si>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</si>
  <si>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</si>
  <si>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</si>
  <si>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</si>
  <si>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</si>
  <si>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</si>
  <si>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</si>
  <si>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</si>
  <si>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</si>
  <si>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</si>
  <si>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</si>
  <si>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</si>
  <si>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</si>
  <si>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</si>
  <si>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</si>
  <si>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</si>
  <si>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</si>
  <si>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</si>
  <si>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</si>
  <si>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</si>
  <si>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</si>
  <si>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</si>
  <si>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</si>
  <si>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</si>
  <si>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</si>
  <si>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</si>
  <si>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</si>
  <si>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</si>
  <si>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</si>
  <si>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</si>
  <si>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</si>
  <si>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</si>
  <si>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</si>
  <si>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</si>
  <si>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</si>
  <si>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</si>
  <si>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</si>
  <si>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</si>
  <si>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</si>
  <si>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</si>
  <si>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</si>
  <si>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</si>
  <si>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</si>
  <si>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</si>
  <si>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</si>
  <si>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</si>
  <si>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</si>
  <si>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</si>
  <si>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</si>
  <si>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</si>
  <si>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</si>
  <si>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</si>
  <si>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</si>
  <si>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</si>
  <si>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</si>
  <si>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</si>
  <si>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</si>
  <si>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</si>
  <si>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</si>
  <si>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</si>
  <si>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</si>
  <si>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</si>
  <si>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</si>
  <si>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</si>
  <si>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</si>
  <si>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</si>
  <si>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</si>
  <si>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</si>
  <si>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</si>
  <si>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</si>
  <si>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</si>
  <si>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</si>
  <si>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</si>
  <si>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</si>
  <si>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</si>
  <si>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</si>
  <si>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</si>
  <si>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</si>
  <si>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</si>
  <si>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</si>
  <si>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</si>
  <si>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</si>
  <si>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</si>
  <si>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</si>
  <si>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</si>
  <si>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</si>
  <si>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</si>
  <si>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</si>
  <si>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</si>
  <si>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</si>
  <si>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</si>
  <si>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</si>
  <si>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</si>
  <si>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</si>
  <si>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</si>
  <si>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</si>
  <si>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</si>
  <si>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</si>
  <si>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</si>
  <si>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</si>
  <si>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</si>
  <si>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</si>
  <si>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</si>
  <si>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</si>
  <si>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</si>
  <si>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</si>
  <si>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</si>
  <si>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</si>
  <si>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</si>
  <si>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</si>
  <si>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</si>
  <si>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</si>
  <si>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</si>
  <si>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</si>
  <si>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</si>
  <si>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</si>
  <si>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</si>
  <si>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</si>
  <si>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</si>
  <si>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</si>
  <si>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</si>
  <si>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</si>
  <si>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</si>
  <si>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</si>
  <si>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</si>
  <si>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</si>
  <si>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</si>
  <si>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</si>
  <si>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</si>
  <si>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</si>
  <si>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</si>
  <si>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</si>
  <si>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</si>
  <si>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</si>
  <si>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</si>
  <si>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</si>
  <si>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</si>
  <si>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</si>
  <si>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</si>
  <si>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</si>
  <si>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</si>
  <si>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</si>
  <si>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</si>
  <si>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</si>
  <si>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</si>
  <si>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</si>
  <si>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</si>
  <si>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</si>
  <si>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</si>
  <si>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</si>
  <si>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</si>
  <si>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</si>
  <si>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</si>
  <si>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</si>
  <si>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</si>
  <si>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</si>
  <si>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</si>
  <si>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</si>
  <si>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</si>
  <si>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</si>
  <si>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</si>
  <si>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</si>
  <si>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</si>
  <si>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</si>
  <si>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</si>
  <si>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</si>
  <si>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</si>
  <si>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</si>
  <si>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</si>
  <si>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</si>
  <si>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</si>
  <si>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</si>
  <si>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</si>
  <si>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</si>
  <si>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</si>
  <si>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</si>
  <si>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</si>
  <si>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</si>
  <si>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</si>
  <si>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</si>
  <si>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</si>
  <si>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</si>
  <si>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</si>
  <si>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</si>
  <si>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</si>
  <si>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</si>
  <si>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</si>
  <si>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</si>
  <si>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</si>
  <si>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</si>
  <si>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</si>
  <si>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</si>
  <si>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</si>
  <si>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</si>
  <si>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</si>
  <si>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</si>
  <si>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</si>
  <si>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</si>
  <si>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</si>
  <si>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</si>
  <si>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</si>
  <si>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</si>
  <si>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</si>
  <si>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</si>
  <si>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</si>
  <si>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</si>
  <si>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</si>
  <si>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</si>
  <si>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</si>
  <si>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</si>
  <si>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</si>
  <si>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</si>
  <si>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</si>
  <si>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</si>
  <si>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</si>
  <si>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</si>
  <si>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</si>
  <si>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</si>
  <si>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</si>
  <si>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</si>
  <si>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</si>
  <si>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</si>
  <si>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</si>
  <si>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</si>
  <si>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</si>
  <si>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</si>
  <si>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</si>
  <si>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</si>
  <si>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</si>
  <si>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</si>
  <si>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</si>
  <si>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</si>
  <si>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</si>
  <si>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</si>
  <si>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</si>
  <si>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</si>
  <si>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</si>
  <si>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</si>
  <si>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</si>
  <si>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</si>
  <si>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</si>
  <si>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</si>
  <si>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</si>
  <si>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</si>
  <si>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</si>
  <si>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</si>
  <si>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</si>
  <si>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</si>
  <si>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</si>
  <si>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</si>
  <si>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</si>
  <si>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</si>
  <si>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</si>
  <si>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</si>
  <si>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</si>
  <si>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</si>
  <si>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</si>
  <si>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</si>
  <si>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</si>
  <si>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</si>
  <si>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</si>
  <si>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</si>
  <si>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</si>
  <si>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</si>
  <si>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</si>
  <si>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</si>
  <si>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</si>
  <si>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</si>
  <si>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</si>
  <si>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</si>
  <si>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</si>
  <si>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</si>
  <si>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</si>
  <si>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</si>
  <si>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</si>
  <si>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</si>
  <si>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</si>
  <si>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</si>
  <si>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</si>
  <si>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</si>
  <si>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</si>
  <si>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</si>
  <si>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</si>
  <si>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</si>
  <si>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</si>
  <si>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</si>
  <si>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</si>
  <si>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</si>
  <si>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</si>
  <si>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</si>
  <si>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</si>
  <si>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</si>
  <si>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</si>
  <si>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</si>
  <si>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</si>
  <si>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</si>
  <si>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</si>
  <si>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</si>
  <si>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</si>
  <si>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</si>
  <si>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</si>
  <si>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</si>
  <si>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</si>
  <si>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</si>
  <si>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</si>
  <si>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</si>
  <si>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</si>
  <si>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</si>
  <si>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</si>
  <si>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</si>
  <si>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</si>
  <si>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</si>
  <si>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</si>
  <si>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</si>
  <si>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</si>
  <si>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</si>
  <si>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</si>
  <si>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</si>
  <si>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</si>
  <si>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</si>
  <si>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</si>
  <si>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</si>
  <si>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</si>
  <si>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</si>
  <si>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</si>
  <si>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</si>
  <si>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</si>
  <si>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</si>
  <si>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</si>
  <si>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</si>
  <si>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</si>
  <si>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</si>
  <si>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</si>
  <si>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</si>
  <si>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</si>
  <si>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</si>
  <si>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</si>
  <si>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</si>
  <si>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</si>
  <si>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</si>
  <si>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</si>
  <si>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</si>
  <si>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</si>
  <si>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</si>
  <si>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</si>
  <si>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</si>
  <si>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</si>
  <si>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</si>
  <si>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</si>
  <si>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</si>
  <si>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</si>
  <si>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</si>
  <si>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</si>
  <si>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</si>
  <si>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</si>
  <si>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</si>
  <si>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</si>
  <si>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</si>
  <si>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</si>
  <si>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</si>
  <si>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</si>
  <si>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</si>
  <si>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</si>
  <si>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</si>
  <si>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</si>
  <si>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</si>
  <si>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</si>
  <si>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</si>
  <si>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</si>
  <si>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</si>
  <si>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</si>
  <si>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</si>
  <si>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</si>
  <si>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</si>
  <si>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</si>
  <si>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</si>
  <si>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</si>
  <si>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</si>
  <si>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</si>
  <si>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</si>
  <si>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</si>
  <si>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</si>
  <si>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</si>
  <si>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</si>
  <si>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</si>
  <si>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</si>
  <si>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</si>
  <si>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</si>
  <si>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</si>
  <si>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</si>
  <si>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</si>
  <si>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</si>
  <si>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</si>
  <si>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</si>
  <si>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</si>
  <si>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</si>
  <si>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</si>
  <si>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</si>
  <si>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</si>
  <si>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</si>
  <si>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</si>
  <si>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</si>
  <si>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</si>
  <si>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</si>
  <si>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</si>
  <si>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</si>
  <si>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</si>
  <si>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</si>
  <si>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</si>
  <si>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</si>
  <si>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</si>
  <si>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</si>
  <si>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</si>
  <si>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</si>
  <si>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</si>
  <si>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</si>
  <si>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</si>
  <si>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</si>
  <si>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</si>
  <si>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</si>
  <si>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</si>
  <si>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</si>
  <si>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</si>
  <si>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</si>
  <si>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</si>
  <si>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</si>
  <si>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</si>
  <si>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</si>
  <si>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</si>
  <si>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</si>
  <si>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</si>
  <si>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</si>
  <si>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</si>
  <si>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</si>
  <si>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</si>
  <si>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</si>
  <si>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</si>
  <si>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</si>
  <si>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</si>
  <si>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</si>
  <si>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</si>
  <si>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</si>
  <si>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</si>
  <si>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</si>
  <si>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</si>
  <si>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</si>
  <si>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</si>
  <si>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</si>
  <si>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</si>
  <si>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</si>
  <si>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</si>
  <si>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</si>
  <si>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</si>
  <si>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</si>
  <si>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</si>
  <si>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</si>
  <si>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</si>
  <si>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</si>
  <si>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</si>
  <si>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</si>
  <si>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</si>
  <si>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</si>
  <si>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</si>
  <si>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</si>
  <si>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</si>
  <si>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</si>
  <si>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</si>
  <si>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</si>
  <si>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</si>
  <si>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</si>
  <si>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</si>
  <si>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</si>
  <si>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</si>
  <si>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</si>
  <si>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</si>
  <si>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</si>
  <si>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</si>
  <si>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</si>
  <si>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</si>
  <si>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</si>
  <si>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</si>
  <si>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</si>
  <si>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</si>
  <si>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</si>
  <si>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</si>
  <si>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</si>
  <si>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</si>
  <si>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</si>
  <si>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</si>
  <si>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</si>
  <si>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</si>
  <si>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</si>
  <si>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</si>
  <si>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</si>
  <si>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</si>
  <si>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</si>
  <si>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</si>
  <si>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</si>
  <si>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</si>
  <si>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</si>
  <si>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</si>
  <si>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</si>
  <si>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</si>
  <si>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</si>
  <si>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</si>
  <si>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</si>
  <si>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</si>
  <si>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</si>
  <si>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</si>
  <si>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</si>
  <si>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</si>
  <si>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</si>
  <si>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</si>
  <si>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</si>
  <si>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</si>
  <si>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</si>
  <si>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</si>
  <si>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</si>
  <si>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</si>
  <si>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</si>
  <si>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</si>
  <si>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</si>
  <si>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</si>
  <si>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</si>
  <si>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</si>
  <si>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</si>
  <si>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</si>
  <si>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</si>
  <si>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</si>
  <si>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</si>
  <si>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</si>
  <si>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</si>
  <si>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</si>
  <si>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</si>
  <si>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</si>
  <si>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</si>
  <si>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</si>
  <si>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</si>
  <si>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</si>
  <si>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</si>
  <si>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</si>
  <si>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</si>
  <si>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</si>
  <si>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</si>
  <si>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</si>
  <si>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</si>
  <si>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</si>
  <si>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</si>
  <si>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</si>
  <si>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</si>
  <si>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</si>
  <si>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</si>
  <si>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</si>
  <si>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</si>
  <si>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</si>
  <si>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</si>
  <si>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</si>
  <si>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</si>
  <si>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</si>
  <si>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</si>
  <si>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</si>
  <si>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</si>
  <si>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</si>
  <si>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</si>
  <si>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</si>
  <si>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</si>
  <si>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</si>
  <si>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</si>
  <si>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</si>
  <si>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</si>
  <si>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</si>
  <si>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</si>
  <si>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</si>
  <si>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</si>
  <si>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</si>
  <si>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</si>
  <si>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</si>
  <si>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</si>
  <si>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</si>
  <si>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</si>
  <si>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</si>
  <si>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</si>
  <si>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</si>
  <si>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</si>
  <si>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</si>
  <si>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</si>
  <si>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</si>
  <si>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</si>
  <si>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</si>
  <si>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</si>
  <si>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</si>
  <si>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</si>
  <si>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</si>
  <si>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</si>
  <si>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</si>
  <si>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</si>
  <si>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</si>
  <si>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</si>
  <si>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</si>
  <si>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</si>
  <si>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</si>
  <si>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</si>
  <si>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</si>
  <si>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</si>
  <si>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</si>
  <si>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</si>
  <si>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</si>
  <si>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</si>
  <si>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</si>
  <si>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</si>
  <si>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</si>
  <si>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</si>
  <si>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</si>
  <si>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</si>
  <si>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</si>
  <si>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</si>
  <si>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</si>
  <si>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</si>
  <si>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</si>
  <si>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</si>
  <si>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</si>
  <si>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</si>
  <si>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</si>
  <si>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</si>
  <si>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</si>
  <si>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</si>
  <si>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</si>
  <si>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</si>
  <si>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</si>
  <si>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</si>
  <si>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</si>
  <si>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</si>
  <si>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</si>
  <si>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</si>
  <si>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</si>
  <si>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</si>
  <si>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</si>
  <si>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</si>
  <si>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</si>
  <si>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</si>
  <si>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</si>
  <si>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</si>
  <si>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</si>
  <si>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</si>
  <si>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</si>
  <si>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</si>
  <si>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</si>
  <si>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</si>
  <si>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</si>
  <si>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</si>
  <si>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</si>
  <si>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</si>
  <si>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</si>
  <si>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</si>
  <si>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</si>
  <si>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</si>
  <si>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</si>
  <si>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</si>
  <si>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</si>
  <si>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</si>
  <si>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</si>
  <si>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</si>
  <si>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</si>
  <si>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</si>
  <si>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</si>
  <si>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</si>
  <si>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</si>
  <si>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</si>
  <si>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</si>
  <si>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</si>
  <si>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</si>
  <si>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</si>
  <si>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</si>
  <si>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</si>
  <si>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</si>
  <si>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</si>
  <si>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</si>
  <si>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</si>
  <si>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</si>
  <si>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</si>
  <si>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</si>
  <si>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</si>
  <si>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</si>
  <si>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</si>
  <si>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</si>
  <si>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</si>
  <si>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</si>
  <si>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</si>
  <si>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</si>
  <si>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</si>
  <si>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</si>
  <si>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</si>
  <si>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</si>
  <si>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</si>
  <si>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</si>
  <si>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</si>
  <si>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</si>
  <si>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</si>
  <si>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</si>
  <si>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</si>
  <si>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</si>
  <si>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</si>
  <si>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</si>
  <si>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</si>
  <si>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</si>
  <si>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</si>
  <si>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</si>
  <si>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</si>
  <si>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</si>
  <si>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</si>
  <si>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</si>
  <si>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</si>
  <si>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</si>
  <si>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</si>
  <si>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</si>
  <si>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</si>
  <si>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</si>
  <si>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</si>
  <si>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</si>
  <si>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</si>
  <si>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</si>
  <si>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</si>
  <si>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</si>
  <si>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</si>
  <si>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</si>
  <si>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</si>
  <si>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</si>
  <si>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</si>
  <si>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</si>
  <si>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</si>
  <si>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</si>
  <si>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</si>
  <si>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</si>
  <si>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</si>
  <si>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</si>
  <si>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</si>
  <si>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</si>
  <si>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</si>
  <si>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</si>
  <si>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</si>
  <si>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</si>
  <si>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</si>
  <si>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</si>
  <si>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</si>
  <si>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</si>
  <si>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</si>
  <si>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</si>
  <si>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</si>
  <si>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</si>
  <si>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</si>
  <si>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</si>
  <si>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</si>
  <si>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</si>
  <si>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</si>
  <si>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</si>
  <si>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</si>
  <si>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</si>
  <si>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</si>
  <si>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</si>
  <si>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</si>
  <si>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</si>
  <si>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</si>
  <si>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</si>
  <si>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</si>
  <si>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</si>
  <si>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</si>
  <si>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</si>
  <si>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</si>
  <si>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</si>
  <si>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</si>
  <si>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</si>
  <si>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</si>
  <si>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</si>
  <si>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</si>
  <si>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</si>
  <si>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</si>
  <si>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</si>
  <si>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</si>
  <si>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</si>
  <si>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</si>
  <si>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</si>
  <si>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</si>
  <si>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</si>
  <si>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</si>
  <si>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</si>
  <si>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</si>
  <si>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</si>
  <si>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</si>
  <si>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</si>
  <si>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</si>
  <si>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</si>
  <si>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</si>
  <si>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</si>
  <si>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</si>
  <si>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</si>
  <si>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</si>
  <si>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</si>
  <si>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</si>
  <si>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</si>
  <si>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</si>
  <si>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</si>
  <si>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</si>
  <si>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</si>
  <si>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</si>
  <si>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</si>
  <si>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</si>
  <si>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</si>
  <si>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</si>
  <si>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</si>
  <si>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</si>
  <si>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</si>
  <si>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</si>
  <si>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</si>
  <si>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</si>
  <si>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</si>
  <si>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</si>
  <si>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</si>
  <si>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</si>
  <si>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</si>
  <si>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</si>
  <si>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</si>
  <si>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</si>
  <si>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</si>
  <si>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</si>
  <si>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</si>
  <si>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</si>
  <si>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</si>
  <si>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</si>
  <si>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</si>
  <si>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</si>
  <si>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</si>
  <si>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</si>
  <si>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</si>
  <si>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</si>
  <si>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</si>
  <si>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</si>
  <si>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</si>
  <si>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</si>
  <si>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</si>
  <si>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</si>
  <si>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</si>
  <si>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</si>
  <si>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</si>
  <si>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</si>
  <si>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</si>
  <si>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</si>
  <si>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</si>
  <si>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</si>
  <si>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</si>
  <si>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</si>
  <si>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</si>
  <si>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</si>
  <si>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</si>
  <si>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</si>
  <si>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</si>
  <si>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</si>
  <si>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</si>
  <si>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</si>
  <si>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</si>
  <si>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</si>
  <si>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</si>
  <si>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</si>
  <si>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</si>
  <si>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</si>
  <si>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</si>
  <si>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</si>
  <si>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</si>
  <si>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</si>
  <si>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</si>
  <si>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</si>
  <si>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</si>
  <si>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</si>
  <si>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</si>
  <si>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</si>
  <si>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</si>
  <si>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</si>
  <si>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</si>
  <si>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</si>
  <si>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</si>
  <si>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</si>
  <si>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</si>
  <si>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</si>
  <si>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</si>
  <si>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</si>
  <si>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</si>
  <si>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</si>
  <si>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</si>
  <si>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</si>
  <si>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</si>
  <si>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</si>
  <si>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</si>
  <si>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</si>
  <si>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</si>
  <si>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</si>
  <si>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</si>
  <si>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</si>
  <si>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</si>
  <si>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</si>
  <si>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</si>
  <si>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</si>
  <si>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</si>
  <si>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</si>
  <si>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</si>
  <si>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</si>
  <si>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</si>
  <si>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</si>
  <si>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</si>
  <si>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</si>
  <si>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</si>
  <si>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</si>
  <si>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</si>
  <si>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</si>
  <si>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</si>
  <si>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</si>
  <si>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</si>
  <si>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</si>
  <si>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</si>
  <si>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</si>
  <si>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</si>
  <si>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</si>
  <si>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</si>
  <si>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</si>
  <si>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</si>
  <si>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</si>
  <si>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</si>
  <si>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</si>
  <si>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</si>
  <si>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</si>
  <si>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</si>
  <si>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</si>
  <si>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</si>
  <si>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</si>
  <si>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</si>
  <si>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</si>
  <si>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</si>
  <si>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</si>
  <si>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</si>
  <si>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</si>
  <si>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</si>
  <si>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</si>
  <si>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</si>
  <si>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</si>
  <si>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</si>
  <si>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</si>
  <si>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</si>
  <si>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</si>
  <si>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</si>
  <si>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</si>
  <si>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</si>
  <si>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</si>
  <si>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</si>
  <si>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</si>
  <si>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</si>
  <si>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</si>
  <si>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</si>
  <si>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</si>
  <si>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</si>
  <si>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</si>
  <si>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</si>
  <si>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</si>
  <si>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</si>
  <si>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</si>
  <si>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</si>
  <si>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</si>
  <si>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</si>
  <si>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</si>
  <si>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</si>
  <si>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</si>
  <si>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</si>
  <si>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</si>
  <si>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</si>
  <si>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</si>
  <si>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</si>
  <si>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</si>
  <si>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</si>
  <si>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</si>
  <si>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</si>
  <si>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</si>
  <si>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</si>
  <si>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</si>
  <si>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</si>
  <si>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</si>
  <si>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</si>
  <si>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</si>
  <si>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</si>
  <si>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</si>
  <si>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</si>
  <si>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</si>
  <si>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</si>
  <si>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</si>
  <si>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</si>
  <si>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</si>
  <si>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</si>
  <si>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</si>
  <si>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</si>
  <si>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</si>
  <si>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</si>
  <si>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</si>
  <si>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</si>
  <si>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</si>
  <si>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</si>
  <si>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</si>
  <si>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</si>
  <si>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</si>
  <si>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</si>
  <si>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</si>
  <si>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</si>
  <si>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</si>
  <si>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</si>
  <si>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</si>
  <si>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</si>
  <si>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</si>
  <si>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</si>
  <si>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</si>
  <si>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</si>
  <si>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</si>
  <si>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</si>
  <si>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</si>
  <si>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</si>
  <si>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</si>
  <si>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</si>
  <si>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</si>
  <si>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</si>
  <si>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</si>
  <si>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</si>
  <si>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</si>
  <si>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</si>
  <si>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</si>
  <si>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</si>
  <si>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</si>
  <si>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</si>
  <si>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</si>
  <si>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</si>
  <si>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</si>
  <si>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</si>
  <si>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</si>
  <si>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</si>
  <si>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</si>
  <si>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</si>
  <si>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</si>
  <si>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</si>
  <si>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</si>
  <si>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</si>
  <si>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</si>
  <si>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</si>
  <si>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</si>
  <si>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</si>
  <si>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</si>
  <si>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</si>
  <si>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</si>
  <si>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</si>
  <si>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</si>
  <si>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</si>
  <si>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</si>
  <si>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</si>
  <si>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</si>
  <si>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</si>
  <si>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</si>
  <si>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</si>
  <si>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</si>
  <si>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</si>
  <si>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</si>
  <si>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</si>
  <si>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</si>
  <si>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</si>
  <si>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</si>
  <si>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</si>
  <si>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</si>
  <si>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</si>
  <si>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</si>
  <si>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</si>
  <si>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</si>
  <si>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</si>
  <si>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</si>
  <si>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</si>
  <si>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</si>
  <si>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</si>
  <si>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</si>
  <si>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</si>
  <si>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</si>
  <si>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</si>
  <si>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</si>
  <si>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</si>
  <si>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</si>
  <si>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</si>
  <si>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</si>
  <si>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</si>
  <si>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</si>
  <si>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</si>
  <si>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</si>
  <si>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</si>
  <si>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</si>
  <si>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</si>
  <si>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</si>
  <si>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</si>
  <si>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</si>
  <si>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</si>
  <si>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</si>
  <si>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</si>
  <si>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</si>
  <si>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</si>
  <si>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</si>
  <si>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</si>
  <si>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</si>
  <si>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</si>
  <si>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</si>
  <si>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</si>
  <si>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</si>
  <si>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</si>
  <si>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</si>
  <si>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</si>
  <si>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</si>
  <si>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</si>
  <si>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</si>
  <si>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</si>
  <si>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</si>
  <si>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</si>
  <si>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</si>
  <si>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</si>
  <si>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</si>
  <si>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</si>
  <si>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</si>
  <si>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</si>
  <si>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</si>
  <si>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</si>
  <si>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</si>
  <si>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</si>
  <si>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</si>
  <si>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</si>
  <si>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</si>
  <si>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</si>
  <si>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</si>
  <si>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</si>
  <si>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</si>
  <si>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</si>
  <si>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</si>
  <si>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</si>
  <si>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</si>
  <si>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</si>
  <si>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</si>
  <si>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</si>
  <si>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</si>
  <si>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</si>
  <si>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</si>
  <si>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</si>
  <si>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</si>
  <si>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</si>
  <si>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</si>
  <si>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</si>
  <si>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</si>
  <si>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</si>
  <si>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</si>
  <si>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</si>
  <si>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</si>
  <si>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</si>
  <si>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</si>
  <si>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</si>
  <si>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</si>
  <si>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</si>
  <si>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</si>
  <si>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</si>
  <si>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</si>
  <si>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</si>
  <si>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</si>
  <si>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</si>
  <si>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</si>
  <si>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</si>
  <si>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</si>
  <si>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</si>
  <si>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</si>
  <si>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</si>
  <si>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</si>
  <si>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</si>
  <si>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</si>
  <si>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</si>
  <si>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</si>
  <si>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</si>
  <si>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</si>
  <si>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</si>
  <si>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</si>
  <si>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</si>
  <si>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</si>
  <si>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</si>
  <si>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</si>
  <si>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</si>
  <si>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</si>
  <si>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</si>
  <si>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</si>
  <si>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</si>
  <si>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</si>
  <si>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</si>
  <si>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</si>
  <si>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</si>
  <si>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</si>
  <si>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</si>
  <si>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</si>
  <si>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</si>
  <si>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</si>
  <si>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</si>
  <si>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</si>
  <si>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</si>
  <si>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</si>
  <si>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</si>
  <si>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</si>
  <si>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</si>
  <si>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</si>
  <si>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</si>
  <si>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</si>
  <si>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</si>
  <si>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</si>
  <si>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</si>
  <si>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</si>
  <si>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</si>
  <si>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</si>
  <si>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</si>
  <si>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</si>
  <si>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</si>
  <si>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</si>
  <si>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</si>
  <si>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</si>
  <si>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</si>
  <si>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</si>
  <si>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</si>
  <si>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</si>
  <si>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</si>
  <si>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</si>
  <si>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</si>
  <si>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</si>
  <si>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</si>
  <si>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</si>
  <si>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</si>
  <si>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</si>
  <si>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</si>
  <si>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</si>
  <si>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</si>
  <si>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</si>
  <si>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</si>
  <si>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</si>
  <si>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</si>
  <si>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</si>
  <si>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</si>
  <si>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</si>
  <si>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</si>
  <si>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</si>
  <si>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</si>
  <si>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</si>
  <si>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</si>
  <si>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</si>
  <si>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</si>
  <si>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</si>
  <si>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</si>
  <si>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</si>
  <si>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</si>
  <si>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</si>
  <si>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</si>
  <si>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</si>
  <si>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</si>
  <si>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</si>
  <si>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</si>
  <si>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</si>
  <si>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</si>
  <si>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</si>
  <si>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</si>
  <si>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</si>
  <si>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</si>
  <si>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</si>
  <si>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</si>
  <si>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</si>
  <si>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</si>
  <si>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</si>
  <si>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</si>
  <si>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</si>
  <si>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</si>
  <si>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</si>
  <si>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</si>
  <si>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</si>
  <si>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</si>
  <si>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</si>
  <si>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</si>
  <si>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</si>
  <si>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</si>
  <si>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</si>
  <si>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</si>
  <si>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</si>
  <si>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</si>
  <si>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</si>
  <si>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</si>
  <si>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</si>
  <si>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</si>
  <si>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</si>
  <si>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</si>
  <si>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</si>
  <si>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</si>
  <si>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</si>
  <si>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</si>
  <si>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</si>
  <si>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</si>
  <si>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</si>
  <si>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</si>
  <si>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</si>
  <si>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</si>
  <si>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</si>
  <si>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</si>
  <si>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</si>
  <si>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</si>
  <si>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</si>
  <si>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</si>
  <si>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</si>
  <si>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</si>
  <si>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</si>
  <si>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</si>
  <si>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</si>
  <si>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</si>
  <si>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</si>
  <si>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</si>
  <si>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</si>
  <si>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</si>
  <si>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</si>
  <si>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</si>
  <si>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</si>
  <si>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</si>
  <si>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</si>
  <si>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</si>
  <si>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</si>
  <si>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</si>
  <si>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</si>
  <si>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</si>
  <si>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</si>
  <si>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</si>
  <si>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</si>
  <si>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</si>
  <si>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</si>
  <si>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</si>
  <si>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</si>
  <si>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</si>
  <si>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</si>
  <si>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</si>
  <si>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</si>
  <si>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</si>
  <si>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</si>
  <si>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</si>
  <si>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</si>
  <si>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</si>
  <si>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</si>
  <si>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</si>
  <si>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</si>
  <si>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</si>
  <si>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</si>
  <si>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</si>
  <si>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</si>
  <si>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</si>
  <si>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</si>
  <si>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</si>
  <si>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</si>
  <si>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</si>
  <si>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</si>
  <si>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</si>
  <si>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</si>
  <si>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</si>
  <si>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</si>
  <si>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</si>
  <si>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</si>
  <si>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AgeBracket</t>
  </si>
  <si>
    <t>a1</t>
  </si>
  <si>
    <t>A1</t>
  </si>
  <si>
    <t>Row Labels</t>
  </si>
  <si>
    <t>Grand Total</t>
  </si>
  <si>
    <t>Year</t>
  </si>
  <si>
    <t>Month</t>
  </si>
  <si>
    <t>Adult</t>
  </si>
  <si>
    <t>Old</t>
  </si>
  <si>
    <t>Young</t>
  </si>
  <si>
    <t>Average of Annual Salary</t>
  </si>
  <si>
    <t>Count of 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</si>
</sst>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409]* #,##0.00_ ;_-[$$-409]* \-#,##0.00\ ;_-[$$-409]* &quot;-&quot;??_ ;_-@_ "/>
    <numFmt numFmtId="168" formatCode="[$$-2809]#,##0"/>
    <numFmt numFmtId="169" formatCode="[$$-45C]#,##0"/>
  </numFmts>
  <fonts count="3" x14ac:knownFonts="1">
    <font>
      <sz val="11"/>
      <color theme="1"/>
      <name val="Calibri"/>
      <family val="2"/>
      <scheme val="minor"/>
    </font>
    <font>
      <b/>
      <sz val="11"/>
      <color rgb="FFFFFFFF"/>
      <name val="Calibri"/>
      <family val="2"/>
      <scheme val="minor"/>
    </font>
    <font>
      <sz val="11"/>
      <color theme="1"/>
      <name val="Calibri"/>
      <family val="2"/>
      <scheme val="minor"/>
    </font>
  </fonts>
  <fills count="3">
    <fill>
      <patternFill patternType="none"/>
    </fill>
    <fill>
      <patternFill patternType="gray125"/>
    </fill>
    <fill>
      <patternFill patternType="solid">
        <fgColor rgb="FF3DB182"/>
        <bgColor indexed="64"/>
      </patternFill>
    </fill>
  </fills>
  <borders count="4">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4"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164" fontId="1" fillId="2" borderId="2" xfId="1" applyNumberFormat="1" applyFont="1" applyFill="1" applyBorder="1" applyAlignment="1">
      <alignment horizontal="left"/>
    </xf>
    <xf numFmtId="164" fontId="0" fillId="0" borderId="0" xfId="1" applyNumberFormat="1" applyFont="1"/>
    <xf numFmtId="9" fontId="0" fillId="0" borderId="0" xfId="0" applyNumberFormat="1"/>
    <xf numFmtId="0" fontId="0" fillId="0" borderId="0" xfId="0" pivotButton="1"/>
    <xf numFmtId="14" fontId="1" fillId="2" borderId="2" xfId="0" applyNumberFormat="1" applyFont="1" applyFill="1" applyBorder="1" applyAlignment="1">
      <alignment horizontal="left"/>
    </xf>
    <xf numFmtId="168" fontId="0" fillId="0" borderId="0" xfId="0" applyNumberFormat="1"/>
    <xf numFmtId="10" fontId="0" fillId="0" borderId="0" xfId="0" applyNumberFormat="1"/>
    <xf numFmtId="169" fontId="0" fillId="0" borderId="0" xfId="0" applyNumberFormat="1"/>
  </cellXfs>
  <cellStyles count="2">
    <cellStyle name="Currency" xfId="1" builtinId="4"/>
    <cellStyle name="Normal" xfId="0" builtinId="0"/>
  </cellStyles>
  <dxfs count="8">
    <dxf>
      <numFmt numFmtId="165" formatCode="m/d/yyyy"/>
    </dxf>
    <dxf>
      <numFmt numFmtId="13" formatCode="0%"/>
    </dxf>
    <dxf>
      <numFmt numFmtId="164" formatCode="_-[$$-409]* #,##0.00_ ;_-[$$-409]* \-#,##0.00\ ;_-[$$-409]* &quot;-&quot;??_ ;_-@_ "/>
    </dxf>
    <dxf>
      <numFmt numFmtId="0" formatCode="General"/>
    </dxf>
    <dxf>
      <numFmt numFmtId="0" formatCode="General"/>
    </dxf>
    <dxf>
      <numFmt numFmtId="19" formatCode="dd/mm/yyyy"/>
    </dxf>
    <dxf>
      <numFmt numFmtId="0" formatCode="General"/>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Employee Sample Data.xlsx]Sheet2!PivotTable1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for the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Adult</c:v>
                </c:pt>
                <c:pt idx="1">
                  <c:v>Old</c:v>
                </c:pt>
                <c:pt idx="2">
                  <c:v>Young</c:v>
                </c:pt>
              </c:strCache>
            </c:strRef>
          </c:cat>
          <c:val>
            <c:numRef>
              <c:f>Sheet2!$B$4:$B$7</c:f>
              <c:numCache>
                <c:formatCode>[$$-2809]#,##0</c:formatCode>
                <c:ptCount val="3"/>
                <c:pt idx="0">
                  <c:v>113141.20626631854</c:v>
                </c:pt>
                <c:pt idx="1">
                  <c:v>111986.62831858407</c:v>
                </c:pt>
                <c:pt idx="2">
                  <c:v>114848.85950413223</c:v>
                </c:pt>
              </c:numCache>
            </c:numRef>
          </c:val>
          <c:extLst>
            <c:ext xmlns:c16="http://schemas.microsoft.com/office/drawing/2014/chart" uri="{C3380CC4-5D6E-409C-BE32-E72D297353CC}">
              <c16:uniqueId val="{00000000-AF8C-479A-89AB-8659C568C8FB}"/>
            </c:ext>
          </c:extLst>
        </c:ser>
        <c:dLbls>
          <c:dLblPos val="outEnd"/>
          <c:showLegendKey val="0"/>
          <c:showVal val="1"/>
          <c:showCatName val="0"/>
          <c:showSerName val="0"/>
          <c:showPercent val="0"/>
          <c:showBubbleSize val="0"/>
        </c:dLbls>
        <c:gapWidth val="219"/>
        <c:overlap val="-27"/>
        <c:axId val="88138671"/>
        <c:axId val="88137007"/>
      </c:barChart>
      <c:catAx>
        <c:axId val="881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8137007"/>
        <c:crosses val="autoZero"/>
        <c:auto val="1"/>
        <c:lblAlgn val="ctr"/>
        <c:lblOffset val="100"/>
        <c:noMultiLvlLbl val="0"/>
      </c:catAx>
      <c:valAx>
        <c:axId val="88137007"/>
        <c:scaling>
          <c:orientation val="minMax"/>
        </c:scaling>
        <c:delete val="0"/>
        <c:axPos val="l"/>
        <c:majorGridlines>
          <c:spPr>
            <a:ln w="9525" cap="flat" cmpd="sng" algn="ctr">
              <a:solidFill>
                <a:schemeClr val="tx1">
                  <a:lumMod val="15000"/>
                  <a:lumOff val="85000"/>
                </a:schemeClr>
              </a:solidFill>
              <a:round/>
            </a:ln>
            <a:effectLst/>
          </c:spPr>
        </c:majorGridlines>
        <c:numFmt formatCode="[$$-2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813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Employee Sample Data.xlsx]Sheet2!PivotTable2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for each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Sheet2!$B$19</c:f>
              <c:strCache>
                <c:ptCount val="1"/>
                <c:pt idx="0">
                  <c:v>Average of Annual Salary</c:v>
                </c:pt>
              </c:strCache>
            </c:strRef>
          </c:tx>
          <c:spPr>
            <a:ln w="28575" cap="rnd">
              <a:solidFill>
                <a:schemeClr val="accent1"/>
              </a:solidFill>
              <a:round/>
            </a:ln>
            <a:effectLst/>
          </c:spPr>
          <c:marker>
            <c:symbol val="none"/>
          </c:marker>
          <c:cat>
            <c:strRef>
              <c:f>Sheet2!$A$20:$A$29</c:f>
              <c:strCache>
                <c:ptCount val="9"/>
                <c:pt idx="0">
                  <c:v>Business Partner</c:v>
                </c:pt>
                <c:pt idx="1">
                  <c:v>Cloud Infrastructure Architect</c:v>
                </c:pt>
                <c:pt idx="2">
                  <c:v>Computer Systems Manager</c:v>
                </c:pt>
                <c:pt idx="3">
                  <c:v>Controls Engineer</c:v>
                </c:pt>
                <c:pt idx="4">
                  <c:v>Development Engineer</c:v>
                </c:pt>
                <c:pt idx="5">
                  <c:v>Director</c:v>
                </c:pt>
                <c:pt idx="6">
                  <c:v>Engineering Manager</c:v>
                </c:pt>
                <c:pt idx="7">
                  <c:v>Field Engineer</c:v>
                </c:pt>
                <c:pt idx="8">
                  <c:v>IT Coordinator</c:v>
                </c:pt>
              </c:strCache>
            </c:strRef>
          </c:cat>
          <c:val>
            <c:numRef>
              <c:f>Sheet2!$B$20:$B$29</c:f>
              <c:numCache>
                <c:formatCode>[$$-45C]#,##0</c:formatCode>
                <c:ptCount val="9"/>
                <c:pt idx="0">
                  <c:v>49559.789473684214</c:v>
                </c:pt>
                <c:pt idx="1">
                  <c:v>86961.333333333328</c:v>
                </c:pt>
                <c:pt idx="2">
                  <c:v>80346.809523809527</c:v>
                </c:pt>
                <c:pt idx="3">
                  <c:v>99626.133333333331</c:v>
                </c:pt>
                <c:pt idx="4">
                  <c:v>77889.210526315786</c:v>
                </c:pt>
                <c:pt idx="5">
                  <c:v>171633.85123966943</c:v>
                </c:pt>
                <c:pt idx="6">
                  <c:v>101853.8</c:v>
                </c:pt>
                <c:pt idx="7">
                  <c:v>78928.952380952382</c:v>
                </c:pt>
                <c:pt idx="8">
                  <c:v>48024.454545454544</c:v>
                </c:pt>
              </c:numCache>
            </c:numRef>
          </c:val>
          <c:smooth val="0"/>
          <c:extLst>
            <c:ext xmlns:c16="http://schemas.microsoft.com/office/drawing/2014/chart" uri="{C3380CC4-5D6E-409C-BE32-E72D297353CC}">
              <c16:uniqueId val="{00000000-45E2-4039-B212-9BBA168CE89C}"/>
            </c:ext>
          </c:extLst>
        </c:ser>
        <c:dLbls>
          <c:showLegendKey val="0"/>
          <c:showVal val="0"/>
          <c:showCatName val="0"/>
          <c:showSerName val="0"/>
          <c:showPercent val="0"/>
          <c:showBubbleSize val="0"/>
        </c:dLbls>
        <c:marker val="1"/>
        <c:smooth val="0"/>
        <c:axId val="500930927"/>
        <c:axId val="500931343"/>
      </c:lineChart>
      <c:lineChart>
        <c:grouping val="standard"/>
        <c:varyColors val="0"/>
        <c:ser>
          <c:idx val="1"/>
          <c:order val="1"/>
          <c:tx>
            <c:strRef>
              <c:f>Sheet2!$C$19</c:f>
              <c:strCache>
                <c:ptCount val="1"/>
                <c:pt idx="0">
                  <c:v>Count of Job Title</c:v>
                </c:pt>
              </c:strCache>
            </c:strRef>
          </c:tx>
          <c:spPr>
            <a:ln w="28575" cap="rnd">
              <a:solidFill>
                <a:schemeClr val="accent2"/>
              </a:solidFill>
              <a:round/>
            </a:ln>
            <a:effectLst/>
          </c:spPr>
          <c:marker>
            <c:symbol val="none"/>
          </c:marker>
          <c:cat>
            <c:strRef>
              <c:f>Sheet2!$A$20:$A$29</c:f>
              <c:strCache>
                <c:ptCount val="9"/>
                <c:pt idx="0">
                  <c:v>Business Partner</c:v>
                </c:pt>
                <c:pt idx="1">
                  <c:v>Cloud Infrastructure Architect</c:v>
                </c:pt>
                <c:pt idx="2">
                  <c:v>Computer Systems Manager</c:v>
                </c:pt>
                <c:pt idx="3">
                  <c:v>Controls Engineer</c:v>
                </c:pt>
                <c:pt idx="4">
                  <c:v>Development Engineer</c:v>
                </c:pt>
                <c:pt idx="5">
                  <c:v>Director</c:v>
                </c:pt>
                <c:pt idx="6">
                  <c:v>Engineering Manager</c:v>
                </c:pt>
                <c:pt idx="7">
                  <c:v>Field Engineer</c:v>
                </c:pt>
                <c:pt idx="8">
                  <c:v>IT Coordinator</c:v>
                </c:pt>
              </c:strCache>
            </c:strRef>
          </c:cat>
          <c:val>
            <c:numRef>
              <c:f>Sheet2!$C$20:$C$29</c:f>
              <c:numCache>
                <c:formatCode>0.00%</c:formatCode>
                <c:ptCount val="9"/>
                <c:pt idx="0">
                  <c:v>7.2519083969465645E-2</c:v>
                </c:pt>
                <c:pt idx="1">
                  <c:v>5.7251908396946563E-2</c:v>
                </c:pt>
                <c:pt idx="2">
                  <c:v>8.0152671755725186E-2</c:v>
                </c:pt>
                <c:pt idx="3">
                  <c:v>5.7251908396946563E-2</c:v>
                </c:pt>
                <c:pt idx="4">
                  <c:v>7.2519083969465645E-2</c:v>
                </c:pt>
                <c:pt idx="5">
                  <c:v>0.46183206106870228</c:v>
                </c:pt>
                <c:pt idx="6">
                  <c:v>7.6335877862595422E-2</c:v>
                </c:pt>
                <c:pt idx="7">
                  <c:v>8.0152671755725186E-2</c:v>
                </c:pt>
                <c:pt idx="8">
                  <c:v>4.1984732824427481E-2</c:v>
                </c:pt>
              </c:numCache>
            </c:numRef>
          </c:val>
          <c:smooth val="0"/>
          <c:extLst>
            <c:ext xmlns:c16="http://schemas.microsoft.com/office/drawing/2014/chart" uri="{C3380CC4-5D6E-409C-BE32-E72D297353CC}">
              <c16:uniqueId val="{00000001-45E2-4039-B212-9BBA168CE89C}"/>
            </c:ext>
          </c:extLst>
        </c:ser>
        <c:dLbls>
          <c:showLegendKey val="0"/>
          <c:showVal val="0"/>
          <c:showCatName val="0"/>
          <c:showSerName val="0"/>
          <c:showPercent val="0"/>
          <c:showBubbleSize val="0"/>
        </c:dLbls>
        <c:marker val="1"/>
        <c:smooth val="0"/>
        <c:axId val="521549199"/>
        <c:axId val="101042527"/>
      </c:lineChart>
      <c:catAx>
        <c:axId val="5009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00931343"/>
        <c:crosses val="autoZero"/>
        <c:auto val="1"/>
        <c:lblAlgn val="ctr"/>
        <c:lblOffset val="100"/>
        <c:noMultiLvlLbl val="0"/>
      </c:catAx>
      <c:valAx>
        <c:axId val="500931343"/>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00930927"/>
        <c:crosses val="autoZero"/>
        <c:crossBetween val="between"/>
      </c:valAx>
      <c:valAx>
        <c:axId val="1010425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549199"/>
        <c:crosses val="max"/>
        <c:crossBetween val="between"/>
      </c:valAx>
      <c:catAx>
        <c:axId val="521549199"/>
        <c:scaling>
          <c:orientation val="minMax"/>
        </c:scaling>
        <c:delete val="1"/>
        <c:axPos val="b"/>
        <c:numFmt formatCode="General" sourceLinked="1"/>
        <c:majorTickMark val="out"/>
        <c:minorTickMark val="none"/>
        <c:tickLblPos val="nextTo"/>
        <c:crossAx val="101042527"/>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Employee Sample Data.xlsx]Sheet2!PivotTable3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a:t>
            </a:r>
            <a:r>
              <a:rPr lang="en-US" baseline="0"/>
              <a:t> Salaryfor both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Sheet2!$A$53:$A$55</c:f>
              <c:strCache>
                <c:ptCount val="2"/>
                <c:pt idx="0">
                  <c:v>Female</c:v>
                </c:pt>
                <c:pt idx="1">
                  <c:v>Male</c:v>
                </c:pt>
              </c:strCache>
            </c:strRef>
          </c:cat>
          <c:val>
            <c:numRef>
              <c:f>Sheet2!$B$53:$B$55</c:f>
              <c:numCache>
                <c:formatCode>[$$-45C]#,##0</c:formatCode>
                <c:ptCount val="2"/>
                <c:pt idx="0">
                  <c:v>112314.17953667954</c:v>
                </c:pt>
                <c:pt idx="1">
                  <c:v>114188.00829875519</c:v>
                </c:pt>
              </c:numCache>
            </c:numRef>
          </c:val>
          <c:extLst>
            <c:ext xmlns:c16="http://schemas.microsoft.com/office/drawing/2014/chart" uri="{C3380CC4-5D6E-409C-BE32-E72D297353CC}">
              <c16:uniqueId val="{00000000-1BBB-4199-BA94-479CD1C7332D}"/>
            </c:ext>
          </c:extLst>
        </c:ser>
        <c:dLbls>
          <c:dLblPos val="outEnd"/>
          <c:showLegendKey val="0"/>
          <c:showVal val="1"/>
          <c:showCatName val="0"/>
          <c:showSerName val="0"/>
          <c:showPercent val="0"/>
          <c:showBubbleSize val="0"/>
        </c:dLbls>
        <c:gapWidth val="219"/>
        <c:overlap val="-27"/>
        <c:axId val="515611343"/>
        <c:axId val="515611759"/>
      </c:barChart>
      <c:catAx>
        <c:axId val="51561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5611759"/>
        <c:crosses val="autoZero"/>
        <c:auto val="1"/>
        <c:lblAlgn val="ctr"/>
        <c:lblOffset val="100"/>
        <c:noMultiLvlLbl val="0"/>
      </c:catAx>
      <c:valAx>
        <c:axId val="515611759"/>
        <c:scaling>
          <c:orientation val="minMax"/>
        </c:scaling>
        <c:delete val="0"/>
        <c:axPos val="l"/>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561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Employee Sample Data.xlsx]Sheet2!PivotTable1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for the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Adult</c:v>
                </c:pt>
                <c:pt idx="1">
                  <c:v>Old</c:v>
                </c:pt>
                <c:pt idx="2">
                  <c:v>Young</c:v>
                </c:pt>
              </c:strCache>
            </c:strRef>
          </c:cat>
          <c:val>
            <c:numRef>
              <c:f>Sheet2!$B$4:$B$7</c:f>
              <c:numCache>
                <c:formatCode>[$$-2809]#,##0</c:formatCode>
                <c:ptCount val="3"/>
                <c:pt idx="0">
                  <c:v>113141.20626631854</c:v>
                </c:pt>
                <c:pt idx="1">
                  <c:v>111986.62831858407</c:v>
                </c:pt>
                <c:pt idx="2">
                  <c:v>114848.85950413223</c:v>
                </c:pt>
              </c:numCache>
            </c:numRef>
          </c:val>
          <c:extLst>
            <c:ext xmlns:c16="http://schemas.microsoft.com/office/drawing/2014/chart" uri="{C3380CC4-5D6E-409C-BE32-E72D297353CC}">
              <c16:uniqueId val="{00000000-A89F-4974-9C02-3BE9F0A0312C}"/>
            </c:ext>
          </c:extLst>
        </c:ser>
        <c:dLbls>
          <c:dLblPos val="outEnd"/>
          <c:showLegendKey val="0"/>
          <c:showVal val="1"/>
          <c:showCatName val="0"/>
          <c:showSerName val="0"/>
          <c:showPercent val="0"/>
          <c:showBubbleSize val="0"/>
        </c:dLbls>
        <c:gapWidth val="219"/>
        <c:overlap val="-27"/>
        <c:axId val="88138671"/>
        <c:axId val="88137007"/>
      </c:barChart>
      <c:catAx>
        <c:axId val="881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8137007"/>
        <c:crosses val="autoZero"/>
        <c:auto val="1"/>
        <c:lblAlgn val="ctr"/>
        <c:lblOffset val="100"/>
        <c:noMultiLvlLbl val="0"/>
      </c:catAx>
      <c:valAx>
        <c:axId val="88137007"/>
        <c:scaling>
          <c:orientation val="minMax"/>
        </c:scaling>
        <c:delete val="0"/>
        <c:axPos val="l"/>
        <c:majorGridlines>
          <c:spPr>
            <a:ln w="9525" cap="flat" cmpd="sng" algn="ctr">
              <a:solidFill>
                <a:schemeClr val="tx1">
                  <a:lumMod val="15000"/>
                  <a:lumOff val="85000"/>
                </a:schemeClr>
              </a:solidFill>
              <a:round/>
            </a:ln>
            <a:effectLst/>
          </c:spPr>
        </c:majorGridlines>
        <c:numFmt formatCode="[$$-2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813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Employee Sample Data.xlsx]Sheet2!PivotTable2</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Sheet2!$B$19</c:f>
              <c:strCache>
                <c:ptCount val="1"/>
                <c:pt idx="0">
                  <c:v>Average of Annual Salary</c:v>
                </c:pt>
              </c:strCache>
            </c:strRef>
          </c:tx>
          <c:spPr>
            <a:ln w="28575" cap="rnd">
              <a:solidFill>
                <a:schemeClr val="accent1"/>
              </a:solidFill>
              <a:round/>
            </a:ln>
            <a:effectLst/>
          </c:spPr>
          <c:marker>
            <c:symbol val="none"/>
          </c:marker>
          <c:cat>
            <c:strRef>
              <c:f>Sheet2!$A$20:$A$29</c:f>
              <c:strCache>
                <c:ptCount val="9"/>
                <c:pt idx="0">
                  <c:v>Business Partner</c:v>
                </c:pt>
                <c:pt idx="1">
                  <c:v>Cloud Infrastructure Architect</c:v>
                </c:pt>
                <c:pt idx="2">
                  <c:v>Computer Systems Manager</c:v>
                </c:pt>
                <c:pt idx="3">
                  <c:v>Controls Engineer</c:v>
                </c:pt>
                <c:pt idx="4">
                  <c:v>Development Engineer</c:v>
                </c:pt>
                <c:pt idx="5">
                  <c:v>Director</c:v>
                </c:pt>
                <c:pt idx="6">
                  <c:v>Engineering Manager</c:v>
                </c:pt>
                <c:pt idx="7">
                  <c:v>Field Engineer</c:v>
                </c:pt>
                <c:pt idx="8">
                  <c:v>IT Coordinator</c:v>
                </c:pt>
              </c:strCache>
            </c:strRef>
          </c:cat>
          <c:val>
            <c:numRef>
              <c:f>Sheet2!$B$20:$B$29</c:f>
              <c:numCache>
                <c:formatCode>[$$-45C]#,##0</c:formatCode>
                <c:ptCount val="9"/>
                <c:pt idx="0">
                  <c:v>49559.789473684214</c:v>
                </c:pt>
                <c:pt idx="1">
                  <c:v>86961.333333333328</c:v>
                </c:pt>
                <c:pt idx="2">
                  <c:v>80346.809523809527</c:v>
                </c:pt>
                <c:pt idx="3">
                  <c:v>99626.133333333331</c:v>
                </c:pt>
                <c:pt idx="4">
                  <c:v>77889.210526315786</c:v>
                </c:pt>
                <c:pt idx="5">
                  <c:v>171633.85123966943</c:v>
                </c:pt>
                <c:pt idx="6">
                  <c:v>101853.8</c:v>
                </c:pt>
                <c:pt idx="7">
                  <c:v>78928.952380952382</c:v>
                </c:pt>
                <c:pt idx="8">
                  <c:v>48024.454545454544</c:v>
                </c:pt>
              </c:numCache>
            </c:numRef>
          </c:val>
          <c:smooth val="0"/>
          <c:extLst>
            <c:ext xmlns:c16="http://schemas.microsoft.com/office/drawing/2014/chart" uri="{C3380CC4-5D6E-409C-BE32-E72D297353CC}">
              <c16:uniqueId val="{00000000-ADDB-4BC4-921D-EBD120824610}"/>
            </c:ext>
          </c:extLst>
        </c:ser>
        <c:ser>
          <c:idx val="1"/>
          <c:order val="1"/>
          <c:tx>
            <c:strRef>
              <c:f>Sheet2!$C$19</c:f>
              <c:strCache>
                <c:ptCount val="1"/>
                <c:pt idx="0">
                  <c:v>Count of Job Title</c:v>
                </c:pt>
              </c:strCache>
            </c:strRef>
          </c:tx>
          <c:spPr>
            <a:ln w="28575" cap="rnd">
              <a:solidFill>
                <a:schemeClr val="accent2"/>
              </a:solidFill>
              <a:round/>
            </a:ln>
            <a:effectLst/>
          </c:spPr>
          <c:marker>
            <c:symbol val="none"/>
          </c:marker>
          <c:cat>
            <c:strRef>
              <c:f>Sheet2!$A$20:$A$29</c:f>
              <c:strCache>
                <c:ptCount val="9"/>
                <c:pt idx="0">
                  <c:v>Business Partner</c:v>
                </c:pt>
                <c:pt idx="1">
                  <c:v>Cloud Infrastructure Architect</c:v>
                </c:pt>
                <c:pt idx="2">
                  <c:v>Computer Systems Manager</c:v>
                </c:pt>
                <c:pt idx="3">
                  <c:v>Controls Engineer</c:v>
                </c:pt>
                <c:pt idx="4">
                  <c:v>Development Engineer</c:v>
                </c:pt>
                <c:pt idx="5">
                  <c:v>Director</c:v>
                </c:pt>
                <c:pt idx="6">
                  <c:v>Engineering Manager</c:v>
                </c:pt>
                <c:pt idx="7">
                  <c:v>Field Engineer</c:v>
                </c:pt>
                <c:pt idx="8">
                  <c:v>IT Coordinator</c:v>
                </c:pt>
              </c:strCache>
            </c:strRef>
          </c:cat>
          <c:val>
            <c:numRef>
              <c:f>Sheet2!$C$20:$C$29</c:f>
              <c:numCache>
                <c:formatCode>0.00%</c:formatCode>
                <c:ptCount val="9"/>
                <c:pt idx="0">
                  <c:v>7.2519083969465645E-2</c:v>
                </c:pt>
                <c:pt idx="1">
                  <c:v>5.7251908396946563E-2</c:v>
                </c:pt>
                <c:pt idx="2">
                  <c:v>8.0152671755725186E-2</c:v>
                </c:pt>
                <c:pt idx="3">
                  <c:v>5.7251908396946563E-2</c:v>
                </c:pt>
                <c:pt idx="4">
                  <c:v>7.2519083969465645E-2</c:v>
                </c:pt>
                <c:pt idx="5">
                  <c:v>0.46183206106870228</c:v>
                </c:pt>
                <c:pt idx="6">
                  <c:v>7.6335877862595422E-2</c:v>
                </c:pt>
                <c:pt idx="7">
                  <c:v>8.0152671755725186E-2</c:v>
                </c:pt>
                <c:pt idx="8">
                  <c:v>4.1984732824427481E-2</c:v>
                </c:pt>
              </c:numCache>
            </c:numRef>
          </c:val>
          <c:smooth val="0"/>
          <c:extLst>
            <c:ext xmlns:c16="http://schemas.microsoft.com/office/drawing/2014/chart" uri="{C3380CC4-5D6E-409C-BE32-E72D297353CC}">
              <c16:uniqueId val="{00000001-ADDB-4BC4-921D-EBD120824610}"/>
            </c:ext>
          </c:extLst>
        </c:ser>
        <c:dLbls>
          <c:showLegendKey val="0"/>
          <c:showVal val="0"/>
          <c:showCatName val="0"/>
          <c:showSerName val="0"/>
          <c:showPercent val="0"/>
          <c:showBubbleSize val="0"/>
        </c:dLbls>
        <c:smooth val="0"/>
        <c:axId val="500930927"/>
        <c:axId val="500931343"/>
      </c:lineChart>
      <c:catAx>
        <c:axId val="5009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00931343"/>
        <c:crosses val="autoZero"/>
        <c:auto val="1"/>
        <c:lblAlgn val="ctr"/>
        <c:lblOffset val="100"/>
        <c:noMultiLvlLbl val="0"/>
      </c:catAx>
      <c:valAx>
        <c:axId val="500931343"/>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0093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Employee Sample Data.xlsx]Sheet2!PivotTable3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a:t>
            </a:r>
            <a:r>
              <a:rPr lang="en-US" baseline="0"/>
              <a:t> Salaryfor both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Sheet2!$A$53:$A$55</c:f>
              <c:strCache>
                <c:ptCount val="2"/>
                <c:pt idx="0">
                  <c:v>Female</c:v>
                </c:pt>
                <c:pt idx="1">
                  <c:v>Male</c:v>
                </c:pt>
              </c:strCache>
            </c:strRef>
          </c:cat>
          <c:val>
            <c:numRef>
              <c:f>Sheet2!$B$53:$B$55</c:f>
              <c:numCache>
                <c:formatCode>[$$-45C]#,##0</c:formatCode>
                <c:ptCount val="2"/>
                <c:pt idx="0">
                  <c:v>112314.17953667954</c:v>
                </c:pt>
                <c:pt idx="1">
                  <c:v>114188.00829875519</c:v>
                </c:pt>
              </c:numCache>
            </c:numRef>
          </c:val>
          <c:extLst>
            <c:ext xmlns:c16="http://schemas.microsoft.com/office/drawing/2014/chart" uri="{C3380CC4-5D6E-409C-BE32-E72D297353CC}">
              <c16:uniqueId val="{00000000-177D-4001-AE2C-8FD9A0DA5ED8}"/>
            </c:ext>
          </c:extLst>
        </c:ser>
        <c:dLbls>
          <c:dLblPos val="outEnd"/>
          <c:showLegendKey val="0"/>
          <c:showVal val="1"/>
          <c:showCatName val="0"/>
          <c:showSerName val="0"/>
          <c:showPercent val="0"/>
          <c:showBubbleSize val="0"/>
        </c:dLbls>
        <c:gapWidth val="219"/>
        <c:overlap val="-27"/>
        <c:axId val="515611343"/>
        <c:axId val="515611759"/>
      </c:barChart>
      <c:catAx>
        <c:axId val="51561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5611759"/>
        <c:crosses val="autoZero"/>
        <c:auto val="1"/>
        <c:lblAlgn val="ctr"/>
        <c:lblOffset val="100"/>
        <c:noMultiLvlLbl val="0"/>
      </c:catAx>
      <c:valAx>
        <c:axId val="515611759"/>
        <c:scaling>
          <c:orientation val="minMax"/>
        </c:scaling>
        <c:delete val="0"/>
        <c:axPos val="l"/>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561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a:extLst>
            <a:ext uri="{FF2B5EF4-FFF2-40B4-BE49-F238E27FC236}">
              <a16:creationId xmlns:a16="http://schemas.microsoft.com/office/drawing/2014/main" id="{43C855C3-8497-4F8D-81F7-37AF13CD9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xdr:row>
      <xdr:rowOff>0</xdr:rowOff>
    </xdr:from>
    <xdr:to>
      <xdr:col>11</xdr:col>
      <xdr:colOff>0</xdr:colOff>
      <xdr:row>8</xdr:row>
      <xdr:rowOff>57150</xdr:rowOff>
    </xdr:to>
    <mc:AlternateContent xmlns:mc="http://schemas.openxmlformats.org/markup-compatibility/2006">
      <mc:Choice xmlns:a14="http://schemas.microsoft.com/office/drawing/2010/main" Requires="a14">
        <xdr:graphicFrame macro="">
          <xdr:nvGraphicFramePr>
            <xdr:cNvPr id="3" name="AgeBracket">
              <a:extLst>
                <a:ext uri="{FF2B5EF4-FFF2-40B4-BE49-F238E27FC236}">
                  <a16:creationId xmlns:a16="http://schemas.microsoft.com/office/drawing/2014/main" id="{2B38E19A-F10A-4198-A83E-9530CF416C0C}"/>
                </a:ext>
              </a:extLst>
            </xdr:cNvPr>
            <xdr:cNvGraphicFramePr/>
          </xdr:nvGraphicFramePr>
          <xdr:xfrm>
            <a:off x="0" y="0"/>
            <a:ext cx="0" cy="0"/>
          </xdr:xfrm>
          <a:graphic>
            <a:graphicData uri="http://schemas.microsoft.com/office/drawing/2010/slicer">
              <sle:slicer xmlns:sle="http://schemas.microsoft.com/office/drawing/2010/slicer" name="AgeBracket"/>
            </a:graphicData>
          </a:graphic>
        </xdr:graphicFrame>
      </mc:Choice>
      <mc:Fallback>
        <xdr:sp macro="" textlink="">
          <xdr:nvSpPr>
            <xdr:cNvPr id="0" name=""/>
            <xdr:cNvSpPr>
              <a:spLocks noTextEdit="1"/>
            </xdr:cNvSpPr>
          </xdr:nvSpPr>
          <xdr:spPr>
            <a:xfrm>
              <a:off x="4876800" y="368300"/>
              <a:ext cx="1828800" cy="11620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0</xdr:rowOff>
    </xdr:from>
    <xdr:to>
      <xdr:col>10</xdr:col>
      <xdr:colOff>374650</xdr:colOff>
      <xdr:row>35</xdr:row>
      <xdr:rowOff>168275</xdr:rowOff>
    </xdr:to>
    <xdr:graphicFrame macro="">
      <xdr:nvGraphicFramePr>
        <xdr:cNvPr id="4" name="Chart 3">
          <a:extLst>
            <a:ext uri="{FF2B5EF4-FFF2-40B4-BE49-F238E27FC236}">
              <a16:creationId xmlns:a16="http://schemas.microsoft.com/office/drawing/2014/main" id="{07E37685-A8A9-4210-B0AE-7AF141941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19</xdr:row>
      <xdr:rowOff>0</xdr:rowOff>
    </xdr:from>
    <xdr:to>
      <xdr:col>14</xdr:col>
      <xdr:colOff>0</xdr:colOff>
      <xdr:row>32</xdr:row>
      <xdr:rowOff>130175</xdr:rowOff>
    </xdr:to>
    <mc:AlternateContent xmlns:mc="http://schemas.openxmlformats.org/markup-compatibility/2006">
      <mc:Choice xmlns:a14="http://schemas.microsoft.com/office/drawing/2010/main" Requires="a14">
        <xdr:graphicFrame macro="">
          <xdr:nvGraphicFramePr>
            <xdr:cNvPr id="5" name="Job Title">
              <a:extLst>
                <a:ext uri="{FF2B5EF4-FFF2-40B4-BE49-F238E27FC236}">
                  <a16:creationId xmlns:a16="http://schemas.microsoft.com/office/drawing/2014/main" id="{B6816A82-6E22-4F3C-B5F7-DCFE13D8DD29}"/>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6705600" y="34988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40</xdr:row>
      <xdr:rowOff>0</xdr:rowOff>
    </xdr:from>
    <xdr:to>
      <xdr:col>7</xdr:col>
      <xdr:colOff>488950</xdr:colOff>
      <xdr:row>54</xdr:row>
      <xdr:rowOff>165100</xdr:rowOff>
    </xdr:to>
    <xdr:graphicFrame macro="">
      <xdr:nvGraphicFramePr>
        <xdr:cNvPr id="6" name="Chart 5">
          <a:extLst>
            <a:ext uri="{FF2B5EF4-FFF2-40B4-BE49-F238E27FC236}">
              <a16:creationId xmlns:a16="http://schemas.microsoft.com/office/drawing/2014/main" id="{EC551F64-58E3-4539-A7FE-02DC10979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41</xdr:row>
      <xdr:rowOff>0</xdr:rowOff>
    </xdr:from>
    <xdr:to>
      <xdr:col>13</xdr:col>
      <xdr:colOff>0</xdr:colOff>
      <xdr:row>45</xdr:row>
      <xdr:rowOff>146050</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50AEDFEA-E1E4-452B-99AF-6955EB0317F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096000" y="7550150"/>
              <a:ext cx="1828800" cy="882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215900</xdr:colOff>
      <xdr:row>16</xdr:row>
      <xdr:rowOff>165100</xdr:rowOff>
    </xdr:to>
    <xdr:graphicFrame macro="">
      <xdr:nvGraphicFramePr>
        <xdr:cNvPr id="3" name="Chart 2">
          <a:extLst>
            <a:ext uri="{FF2B5EF4-FFF2-40B4-BE49-F238E27FC236}">
              <a16:creationId xmlns:a16="http://schemas.microsoft.com/office/drawing/2014/main" id="{F7CBFF60-7FB5-491F-ACAB-22F9F8151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xdr:row>
      <xdr:rowOff>0</xdr:rowOff>
    </xdr:from>
    <xdr:to>
      <xdr:col>12</xdr:col>
      <xdr:colOff>76200</xdr:colOff>
      <xdr:row>10</xdr:row>
      <xdr:rowOff>12700</xdr:rowOff>
    </xdr:to>
    <mc:AlternateContent xmlns:mc="http://schemas.openxmlformats.org/markup-compatibility/2006">
      <mc:Choice xmlns:a14="http://schemas.microsoft.com/office/drawing/2010/main" Requires="a14">
        <xdr:graphicFrame macro="">
          <xdr:nvGraphicFramePr>
            <xdr:cNvPr id="5" name="AgeBracket 1">
              <a:extLst>
                <a:ext uri="{FF2B5EF4-FFF2-40B4-BE49-F238E27FC236}">
                  <a16:creationId xmlns:a16="http://schemas.microsoft.com/office/drawing/2014/main" id="{EDC2FB4D-716A-49BA-9F99-3244964DF1FF}"/>
                </a:ext>
              </a:extLst>
            </xdr:cNvPr>
            <xdr:cNvGraphicFramePr/>
          </xdr:nvGraphicFramePr>
          <xdr:xfrm>
            <a:off x="0" y="0"/>
            <a:ext cx="0" cy="0"/>
          </xdr:xfrm>
          <a:graphic>
            <a:graphicData uri="http://schemas.microsoft.com/office/drawing/2010/slicer">
              <sle:slicer xmlns:sle="http://schemas.microsoft.com/office/drawing/2010/slicer" name="AgeBracket 1"/>
            </a:graphicData>
          </a:graphic>
        </xdr:graphicFrame>
      </mc:Choice>
      <mc:Fallback>
        <xdr:sp macro="" textlink="">
          <xdr:nvSpPr>
            <xdr:cNvPr id="0" name=""/>
            <xdr:cNvSpPr>
              <a:spLocks noTextEdit="1"/>
            </xdr:cNvSpPr>
          </xdr:nvSpPr>
          <xdr:spPr>
            <a:xfrm>
              <a:off x="7747000" y="552450"/>
              <a:ext cx="1828800" cy="1301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24</xdr:row>
      <xdr:rowOff>0</xdr:rowOff>
    </xdr:from>
    <xdr:to>
      <xdr:col>16</xdr:col>
      <xdr:colOff>95250</xdr:colOff>
      <xdr:row>41</xdr:row>
      <xdr:rowOff>168275</xdr:rowOff>
    </xdr:to>
    <xdr:graphicFrame macro="">
      <xdr:nvGraphicFramePr>
        <xdr:cNvPr id="9" name="Chart 8">
          <a:extLst>
            <a:ext uri="{FF2B5EF4-FFF2-40B4-BE49-F238E27FC236}">
              <a16:creationId xmlns:a16="http://schemas.microsoft.com/office/drawing/2014/main" id="{0A73CCD5-B73B-425C-A3B9-1772CDA47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55</xdr:row>
      <xdr:rowOff>0</xdr:rowOff>
    </xdr:from>
    <xdr:to>
      <xdr:col>10</xdr:col>
      <xdr:colOff>31750</xdr:colOff>
      <xdr:row>69</xdr:row>
      <xdr:rowOff>165100</xdr:rowOff>
    </xdr:to>
    <xdr:graphicFrame macro="">
      <xdr:nvGraphicFramePr>
        <xdr:cNvPr id="12" name="Chart 11">
          <a:extLst>
            <a:ext uri="{FF2B5EF4-FFF2-40B4-BE49-F238E27FC236}">
              <a16:creationId xmlns:a16="http://schemas.microsoft.com/office/drawing/2014/main" id="{4301D62C-9992-498D-85AF-B0B3F502E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46</xdr:row>
      <xdr:rowOff>0</xdr:rowOff>
    </xdr:from>
    <xdr:to>
      <xdr:col>11</xdr:col>
      <xdr:colOff>76200</xdr:colOff>
      <xdr:row>50</xdr:row>
      <xdr:rowOff>146050</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9C1E94C8-94D7-4EF7-9818-712D74DA8B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162800" y="8470900"/>
              <a:ext cx="1828800" cy="882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6.687506712966" createdVersion="8" refreshedVersion="8" minRefreshableVersion="3" recordCount="1000" xr:uid="{ECCD9C39-7C4A-4548-9E93-D2B6AE2D9218}">
  <cacheSource type="worksheet">
    <worksheetSource name="TBL"/>
  </cacheSource>
  <cacheFields count="19">
    <cacheField name="EEID" numFmtId="0">
      <sharedItems/>
    </cacheField>
    <cacheField name="Full Name"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acheField>
    <cacheField name="Business Unit" numFmtId="0">
      <sharedItems/>
    </cacheField>
    <cacheField name="Gender" numFmtId="0">
      <sharedItems count="2">
        <s v="Female"/>
        <s v="Male"/>
      </sharedItems>
    </cacheField>
    <cacheField name="Ethnicity" numFmtId="0">
      <sharedItems/>
    </cacheField>
    <cacheField name="Age" numFmtId="0">
      <sharedItems containsSemiMixedTypes="0" containsString="0" containsNumber="1" containsInteger="1" minValue="25" maxValue="65"/>
    </cacheField>
    <cacheField name="AgeBracket" numFmtId="0">
      <sharedItems count="3">
        <s v="Adult"/>
        <s v="Young"/>
        <s v="Old"/>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8" base="9">
        <rangePr groupBy="months" startDate="1992-01-09T00:00:00" endDate="2021-12-27T00:00:00"/>
        <groupItems count="14">
          <s v="&lt;09/01/1992"/>
          <s v="Jan"/>
          <s v="Feb"/>
          <s v="Mar"/>
          <s v="Apr"/>
          <s v="May"/>
          <s v="Jun"/>
          <s v="Jul"/>
          <s v="Aug"/>
          <s v="Sep"/>
          <s v="Oct"/>
          <s v="Nov"/>
          <s v="Dec"/>
          <s v="&gt;27/12/2021"/>
        </groupItems>
      </fieldGroup>
    </cacheField>
    <cacheField name="Year" numFmtId="0">
      <sharedItems containsSemiMixedTypes="0" containsString="0" containsNumber="1" containsInteger="1" minValue="1992" maxValue="2021"/>
    </cacheField>
    <cacheField name="Month" numFmtId="0">
      <sharedItems containsSemiMixedTypes="0" containsString="0" containsNumber="1" containsInteger="1" minValue="1" maxValue="12"/>
    </cacheField>
    <cacheField name="Annual Salary" numFmtId="164">
      <sharedItems containsSemiMixedTypes="0" containsString="0" containsNumber="1" containsInteger="1" minValue="40063" maxValue="258498"/>
    </cacheField>
    <cacheField name="Bonus %" numFmtId="9">
      <sharedItems containsSemiMixedTypes="0" containsString="0" containsNumber="1" minValue="0" maxValue="0.4"/>
    </cacheField>
    <cacheField name="Country" numFmtId="0">
      <sharedItems/>
    </cacheField>
    <cacheField name="City" numFmtId="0">
      <sharedItems/>
    </cacheField>
    <cacheField name="Exit Date" numFmtId="14">
      <sharedItems containsDate="1" containsMixedTypes="1" minDate="1994-12-18T00:00:00" maxDate="2022-08-18T00:00:00"/>
    </cacheField>
    <cacheField name="Quarters" numFmtId="0" databaseField="0">
      <fieldGroup base="9">
        <rangePr groupBy="quarters" startDate="1992-01-09T00:00:00" endDate="2021-12-27T00:00:00"/>
        <groupItems count="6">
          <s v="&lt;09/01/1992"/>
          <s v="Qtr1"/>
          <s v="Qtr2"/>
          <s v="Qtr3"/>
          <s v="Qtr4"/>
          <s v="&gt;27/12/2021"/>
        </groupItems>
      </fieldGroup>
    </cacheField>
    <cacheField name="Years" numFmtId="0" databaseField="0">
      <fieldGroup base="9">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337692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387"/>
    <s v="Emily Davis"/>
    <x v="0"/>
    <s v="IT"/>
    <s v="Research &amp; Development"/>
    <x v="0"/>
    <s v="Black"/>
    <n v="55"/>
    <x v="0"/>
    <x v="0"/>
    <n v="2016"/>
    <n v="4"/>
    <n v="141604"/>
    <n v="0.15"/>
    <s v="United States"/>
    <s v="Seattle"/>
    <d v="2021-10-16T00:00:00"/>
  </r>
  <r>
    <s v="E04105"/>
    <s v="Theodore Dinh"/>
    <x v="1"/>
    <s v="IT"/>
    <s v="Manufacturing"/>
    <x v="1"/>
    <s v="Asian"/>
    <n v="59"/>
    <x v="0"/>
    <x v="1"/>
    <n v="1997"/>
    <n v="11"/>
    <n v="99975"/>
    <n v="0"/>
    <s v="China"/>
    <s v="Chongqing"/>
    <s v=""/>
  </r>
  <r>
    <s v="E02572"/>
    <s v="Luna Sanders"/>
    <x v="2"/>
    <s v="Finance"/>
    <s v="Speciality Products"/>
    <x v="0"/>
    <s v="Caucasian"/>
    <n v="50"/>
    <x v="0"/>
    <x v="2"/>
    <n v="2006"/>
    <n v="10"/>
    <n v="163099"/>
    <n v="0.2"/>
    <s v="United States"/>
    <s v="Chicago"/>
    <s v=""/>
  </r>
  <r>
    <s v="E02832"/>
    <s v="Penelope Jordan"/>
    <x v="3"/>
    <s v="IT"/>
    <s v="Manufacturing"/>
    <x v="0"/>
    <s v="Caucasian"/>
    <n v="26"/>
    <x v="1"/>
    <x v="3"/>
    <n v="2019"/>
    <n v="9"/>
    <n v="84913"/>
    <n v="7.0000000000000007E-2"/>
    <s v="United States"/>
    <s v="Chicago"/>
    <s v=""/>
  </r>
  <r>
    <s v="E01639"/>
    <s v="Austin Vo"/>
    <x v="4"/>
    <s v="Finance"/>
    <s v="Manufacturing"/>
    <x v="1"/>
    <s v="Asian"/>
    <n v="55"/>
    <x v="0"/>
    <x v="4"/>
    <n v="1995"/>
    <n v="11"/>
    <n v="95409"/>
    <n v="0"/>
    <s v="United States"/>
    <s v="Phoenix"/>
    <s v=""/>
  </r>
  <r>
    <s v="E00644"/>
    <s v="Joshua Gupta"/>
    <x v="5"/>
    <s v="Sales"/>
    <s v="Corporate"/>
    <x v="1"/>
    <s v="Asian"/>
    <n v="57"/>
    <x v="0"/>
    <x v="5"/>
    <n v="2017"/>
    <n v="1"/>
    <n v="50994"/>
    <n v="0"/>
    <s v="China"/>
    <s v="Chongqing"/>
    <s v=""/>
  </r>
  <r>
    <s v="E01550"/>
    <s v="Ruby Barnes"/>
    <x v="6"/>
    <s v="IT"/>
    <s v="Corporate"/>
    <x v="0"/>
    <s v="Caucasian"/>
    <n v="27"/>
    <x v="1"/>
    <x v="6"/>
    <n v="2020"/>
    <n v="7"/>
    <n v="119746"/>
    <n v="0.1"/>
    <s v="United States"/>
    <s v="Phoenix"/>
    <s v=""/>
  </r>
  <r>
    <s v="E04332"/>
    <s v="Luke Martin"/>
    <x v="7"/>
    <s v="Finance"/>
    <s v="Manufacturing"/>
    <x v="1"/>
    <s v="Black"/>
    <n v="25"/>
    <x v="1"/>
    <x v="7"/>
    <n v="2020"/>
    <n v="5"/>
    <n v="41336"/>
    <n v="0"/>
    <s v="United States"/>
    <s v="Miami"/>
    <d v="2021-05-20T00:00:00"/>
  </r>
  <r>
    <s v="E04533"/>
    <s v="Easton Bailey"/>
    <x v="6"/>
    <s v="Accounting"/>
    <s v="Manufacturing"/>
    <x v="1"/>
    <s v="Caucasian"/>
    <n v="29"/>
    <x v="1"/>
    <x v="8"/>
    <n v="2019"/>
    <n v="1"/>
    <n v="113527"/>
    <n v="0.06"/>
    <s v="United States"/>
    <s v="Austin"/>
    <s v=""/>
  </r>
  <r>
    <s v="E03838"/>
    <s v="Madeline Walker"/>
    <x v="4"/>
    <s v="Finance"/>
    <s v="Speciality Products"/>
    <x v="0"/>
    <s v="Caucasian"/>
    <n v="34"/>
    <x v="0"/>
    <x v="9"/>
    <n v="2018"/>
    <n v="6"/>
    <n v="77203"/>
    <n v="0"/>
    <s v="United States"/>
    <s v="Chicago"/>
    <s v=""/>
  </r>
  <r>
    <s v="E00591"/>
    <s v="Savannah Ali"/>
    <x v="0"/>
    <s v="Human Resources"/>
    <s v="Manufacturing"/>
    <x v="0"/>
    <s v="Asian"/>
    <n v="36"/>
    <x v="0"/>
    <x v="10"/>
    <n v="2009"/>
    <n v="2"/>
    <n v="157333"/>
    <n v="0.15"/>
    <s v="United States"/>
    <s v="Miami"/>
    <s v=""/>
  </r>
  <r>
    <s v="E03344"/>
    <s v="Camila Rogers"/>
    <x v="8"/>
    <s v="Engineering"/>
    <s v="Speciality Products"/>
    <x v="0"/>
    <s v="Caucasian"/>
    <n v="27"/>
    <x v="1"/>
    <x v="11"/>
    <n v="2021"/>
    <n v="10"/>
    <n v="109851"/>
    <n v="0"/>
    <s v="United States"/>
    <s v="Seattle"/>
    <s v=""/>
  </r>
  <r>
    <s v="E00530"/>
    <s v="Eli Jones"/>
    <x v="6"/>
    <s v="Human Resources"/>
    <s v="Manufacturing"/>
    <x v="1"/>
    <s v="Caucasian"/>
    <n v="59"/>
    <x v="0"/>
    <x v="12"/>
    <n v="1999"/>
    <n v="3"/>
    <n v="105086"/>
    <n v="0.09"/>
    <s v="United States"/>
    <s v="Austin"/>
    <s v=""/>
  </r>
  <r>
    <s v="E04239"/>
    <s v="Everleigh Ng"/>
    <x v="0"/>
    <s v="Finance"/>
    <s v="Research &amp; Development"/>
    <x v="0"/>
    <s v="Asian"/>
    <n v="51"/>
    <x v="0"/>
    <x v="13"/>
    <n v="2021"/>
    <n v="6"/>
    <n v="146742"/>
    <n v="0.1"/>
    <s v="China"/>
    <s v="Shanghai"/>
    <s v=""/>
  </r>
  <r>
    <s v="E03496"/>
    <s v="Robert Yang"/>
    <x v="4"/>
    <s v="Accounting"/>
    <s v="Speciality Products"/>
    <x v="1"/>
    <s v="Asian"/>
    <n v="31"/>
    <x v="0"/>
    <x v="14"/>
    <n v="2017"/>
    <n v="11"/>
    <n v="97078"/>
    <n v="0"/>
    <s v="United States"/>
    <s v="Austin"/>
    <d v="2020-03-09T00:00:00"/>
  </r>
  <r>
    <s v="E00549"/>
    <s v="Isabella Xi"/>
    <x v="9"/>
    <s v="Marketing"/>
    <s v="Research &amp; Development"/>
    <x v="0"/>
    <s v="Asian"/>
    <n v="41"/>
    <x v="0"/>
    <x v="15"/>
    <n v="2013"/>
    <n v="3"/>
    <n v="249270"/>
    <n v="0.3"/>
    <s v="United States"/>
    <s v="Seattle"/>
    <s v=""/>
  </r>
  <r>
    <s v="E00163"/>
    <s v="Bella Powell"/>
    <x v="2"/>
    <s v="Finance"/>
    <s v="Research &amp; Development"/>
    <x v="0"/>
    <s v="Black"/>
    <n v="65"/>
    <x v="2"/>
    <x v="16"/>
    <n v="2002"/>
    <n v="3"/>
    <n v="175837"/>
    <n v="0.2"/>
    <s v="United States"/>
    <s v="Phoenix"/>
    <s v=""/>
  </r>
  <r>
    <s v="E00884"/>
    <s v="Camila Silva"/>
    <x v="0"/>
    <s v="Marketing"/>
    <s v="Speciality Products"/>
    <x v="0"/>
    <s v="Latino"/>
    <n v="64"/>
    <x v="2"/>
    <x v="17"/>
    <n v="2003"/>
    <n v="12"/>
    <n v="154828"/>
    <n v="0.13"/>
    <s v="United States"/>
    <s v="Seattle"/>
    <s v=""/>
  </r>
  <r>
    <s v="E04116"/>
    <s v="David Barnes"/>
    <x v="2"/>
    <s v="IT"/>
    <s v="Corporate"/>
    <x v="1"/>
    <s v="Caucasian"/>
    <n v="64"/>
    <x v="2"/>
    <x v="18"/>
    <n v="2013"/>
    <n v="11"/>
    <n v="186503"/>
    <n v="0.24"/>
    <s v="United States"/>
    <s v="Columbus"/>
    <s v=""/>
  </r>
  <r>
    <s v="E04625"/>
    <s v="Adam Dang"/>
    <x v="2"/>
    <s v="Sales"/>
    <s v="Research &amp; Development"/>
    <x v="1"/>
    <s v="Asian"/>
    <n v="45"/>
    <x v="0"/>
    <x v="19"/>
    <n v="2002"/>
    <n v="7"/>
    <n v="166331"/>
    <n v="0.18"/>
    <s v="China"/>
    <s v="Chongqing"/>
    <s v=""/>
  </r>
  <r>
    <s v="E03680"/>
    <s v="Elias Alvarado"/>
    <x v="0"/>
    <s v="IT"/>
    <s v="Manufacturing"/>
    <x v="1"/>
    <s v="Latino"/>
    <n v="56"/>
    <x v="0"/>
    <x v="20"/>
    <n v="2012"/>
    <n v="1"/>
    <n v="146140"/>
    <n v="0.1"/>
    <s v="Brazil"/>
    <s v="Manaus"/>
    <s v=""/>
  </r>
  <r>
    <s v="E04732"/>
    <s v="Eva Rivera"/>
    <x v="2"/>
    <s v="Sales"/>
    <s v="Manufacturing"/>
    <x v="0"/>
    <s v="Latino"/>
    <n v="36"/>
    <x v="0"/>
    <x v="21"/>
    <n v="2021"/>
    <n v="4"/>
    <n v="151703"/>
    <n v="0.21"/>
    <s v="United States"/>
    <s v="Miami"/>
    <s v=""/>
  </r>
  <r>
    <s v="E03484"/>
    <s v="Logan Rivera"/>
    <x v="2"/>
    <s v="IT"/>
    <s v="Research &amp; Development"/>
    <x v="1"/>
    <s v="Latino"/>
    <n v="59"/>
    <x v="0"/>
    <x v="22"/>
    <n v="2002"/>
    <n v="5"/>
    <n v="172787"/>
    <n v="0.28000000000000003"/>
    <s v="Brazil"/>
    <s v="Rio de Janerio"/>
    <s v=""/>
  </r>
  <r>
    <s v="E00671"/>
    <s v="Leonardo Dixon"/>
    <x v="7"/>
    <s v="Sales"/>
    <s v="Speciality Products"/>
    <x v="1"/>
    <s v="Caucasian"/>
    <n v="37"/>
    <x v="0"/>
    <x v="23"/>
    <n v="2019"/>
    <n v="9"/>
    <n v="49998"/>
    <n v="0"/>
    <s v="United States"/>
    <s v="Seattle"/>
    <s v=""/>
  </r>
  <r>
    <s v="E02071"/>
    <s v="Mateo Her"/>
    <x v="9"/>
    <s v="Sales"/>
    <s v="Speciality Products"/>
    <x v="1"/>
    <s v="Asian"/>
    <n v="44"/>
    <x v="0"/>
    <x v="24"/>
    <n v="2014"/>
    <n v="3"/>
    <n v="207172"/>
    <n v="0.31"/>
    <s v="China"/>
    <s v="Chongqing"/>
    <s v=""/>
  </r>
  <r>
    <s v="E02206"/>
    <s v="Jose Henderson"/>
    <x v="2"/>
    <s v="Human Resources"/>
    <s v="Speciality Products"/>
    <x v="1"/>
    <s v="Black"/>
    <n v="41"/>
    <x v="0"/>
    <x v="25"/>
    <n v="2015"/>
    <n v="4"/>
    <n v="152239"/>
    <n v="0.23"/>
    <s v="United States"/>
    <s v="Columbus"/>
    <s v=""/>
  </r>
  <r>
    <s v="E04545"/>
    <s v="Abigail Mejia"/>
    <x v="10"/>
    <s v="Engineering"/>
    <s v="Corporate"/>
    <x v="0"/>
    <s v="Latino"/>
    <n v="56"/>
    <x v="0"/>
    <x v="26"/>
    <n v="2005"/>
    <n v="2"/>
    <n v="98581"/>
    <n v="0"/>
    <s v="Brazil"/>
    <s v="Rio de Janerio"/>
    <s v=""/>
  </r>
  <r>
    <s v="E00154"/>
    <s v="Wyatt Chin"/>
    <x v="9"/>
    <s v="Engineering"/>
    <s v="Speciality Products"/>
    <x v="1"/>
    <s v="Asian"/>
    <n v="43"/>
    <x v="0"/>
    <x v="27"/>
    <n v="2004"/>
    <n v="6"/>
    <n v="246231"/>
    <n v="0.31"/>
    <s v="United States"/>
    <s v="Seattle"/>
    <s v=""/>
  </r>
  <r>
    <s v="E03343"/>
    <s v="Carson Lu"/>
    <x v="11"/>
    <s v="Engineering"/>
    <s v="Speciality Products"/>
    <x v="1"/>
    <s v="Asian"/>
    <n v="64"/>
    <x v="2"/>
    <x v="28"/>
    <n v="1996"/>
    <n v="12"/>
    <n v="99354"/>
    <n v="0.12"/>
    <s v="China"/>
    <s v="Beijing"/>
    <s v=""/>
  </r>
  <r>
    <s v="E00304"/>
    <s v="Dylan Choi"/>
    <x v="9"/>
    <s v="IT"/>
    <s v="Corporate"/>
    <x v="1"/>
    <s v="Asian"/>
    <n v="63"/>
    <x v="2"/>
    <x v="29"/>
    <n v="2012"/>
    <n v="5"/>
    <n v="231141"/>
    <n v="0.34"/>
    <s v="China"/>
    <s v="Beijing"/>
    <s v=""/>
  </r>
  <r>
    <s v="E02594"/>
    <s v="Ezekiel Kumar"/>
    <x v="12"/>
    <s v="IT"/>
    <s v="Research &amp; Development"/>
    <x v="1"/>
    <s v="Asian"/>
    <n v="25"/>
    <x v="1"/>
    <x v="30"/>
    <n v="2017"/>
    <n v="6"/>
    <n v="54775"/>
    <n v="0"/>
    <s v="United States"/>
    <s v="Columbus"/>
    <s v=""/>
  </r>
  <r>
    <s v="E00402"/>
    <s v="Dominic Guzman"/>
    <x v="7"/>
    <s v="Finance"/>
    <s v="Manufacturing"/>
    <x v="1"/>
    <s v="Latino"/>
    <n v="65"/>
    <x v="2"/>
    <x v="31"/>
    <n v="2004"/>
    <n v="5"/>
    <n v="55499"/>
    <n v="0"/>
    <s v="Brazil"/>
    <s v="Manaus"/>
    <s v=""/>
  </r>
  <r>
    <s v="E01994"/>
    <s v="Angel Powell"/>
    <x v="13"/>
    <s v="Sales"/>
    <s v="Research &amp; Development"/>
    <x v="1"/>
    <s v="Caucasian"/>
    <n v="61"/>
    <x v="2"/>
    <x v="32"/>
    <n v="2008"/>
    <n v="7"/>
    <n v="66521"/>
    <n v="0"/>
    <s v="United States"/>
    <s v="Seattle"/>
    <s v=""/>
  </r>
  <r>
    <s v="E03549"/>
    <s v="Mateo Vu"/>
    <x v="5"/>
    <s v="Sales"/>
    <s v="Speciality Products"/>
    <x v="1"/>
    <s v="Asian"/>
    <n v="30"/>
    <x v="0"/>
    <x v="33"/>
    <n v="2016"/>
    <n v="9"/>
    <n v="59100"/>
    <n v="0"/>
    <s v="China"/>
    <s v="Chongqing"/>
    <s v=""/>
  </r>
  <r>
    <s v="E03247"/>
    <s v="Caroline Jenkins"/>
    <x v="7"/>
    <s v="Finance"/>
    <s v="Research &amp; Development"/>
    <x v="0"/>
    <s v="Caucasian"/>
    <n v="27"/>
    <x v="1"/>
    <x v="34"/>
    <n v="2018"/>
    <n v="5"/>
    <n v="49011"/>
    <n v="0"/>
    <s v="United States"/>
    <s v="Chicago"/>
    <s v=""/>
  </r>
  <r>
    <s v="E02074"/>
    <s v="Nora Brown"/>
    <x v="14"/>
    <s v="IT"/>
    <s v="Manufacturing"/>
    <x v="0"/>
    <s v="Caucasian"/>
    <n v="32"/>
    <x v="0"/>
    <x v="35"/>
    <n v="2014"/>
    <n v="2"/>
    <n v="99575"/>
    <n v="0"/>
    <s v="United States"/>
    <s v="Austin"/>
    <s v=""/>
  </r>
  <r>
    <s v="E04152"/>
    <s v="Adeline Huang"/>
    <x v="8"/>
    <s v="Engineering"/>
    <s v="Manufacturing"/>
    <x v="0"/>
    <s v="Asian"/>
    <n v="34"/>
    <x v="0"/>
    <x v="36"/>
    <n v="2019"/>
    <n v="12"/>
    <n v="99989"/>
    <n v="0"/>
    <s v="China"/>
    <s v="Chengdu"/>
    <s v=""/>
  </r>
  <r>
    <s v="E01628"/>
    <s v="Jackson Perry"/>
    <x v="9"/>
    <s v="Marketing"/>
    <s v="Research &amp; Development"/>
    <x v="1"/>
    <s v="Caucasian"/>
    <n v="27"/>
    <x v="1"/>
    <x v="37"/>
    <n v="2019"/>
    <n v="10"/>
    <n v="256420"/>
    <n v="0.3"/>
    <s v="United States"/>
    <s v="Phoenix"/>
    <s v=""/>
  </r>
  <r>
    <s v="E04285"/>
    <s v="Riley Padilla"/>
    <x v="1"/>
    <s v="IT"/>
    <s v="Manufacturing"/>
    <x v="0"/>
    <s v="Latino"/>
    <n v="35"/>
    <x v="0"/>
    <x v="38"/>
    <n v="2013"/>
    <n v="5"/>
    <n v="78940"/>
    <n v="0"/>
    <s v="United States"/>
    <s v="Miami"/>
    <s v=""/>
  </r>
  <r>
    <s v="E01417"/>
    <s v="Leah Pena"/>
    <x v="14"/>
    <s v="IT"/>
    <s v="Corporate"/>
    <x v="0"/>
    <s v="Latino"/>
    <n v="57"/>
    <x v="0"/>
    <x v="39"/>
    <n v="1994"/>
    <n v="1"/>
    <n v="82872"/>
    <n v="0"/>
    <s v="Brazil"/>
    <s v="Manaus"/>
    <s v=""/>
  </r>
  <r>
    <s v="E01754"/>
    <s v="Owen Lam"/>
    <x v="15"/>
    <s v="Human Resources"/>
    <s v="Speciality Products"/>
    <x v="1"/>
    <s v="Asian"/>
    <n v="30"/>
    <x v="0"/>
    <x v="40"/>
    <n v="2017"/>
    <n v="5"/>
    <n v="86317"/>
    <n v="0"/>
    <s v="China"/>
    <s v="Chengdu"/>
    <d v="2017-07-16T00:00:00"/>
  </r>
  <r>
    <s v="E03749"/>
    <s v="Kennedy Foster"/>
    <x v="6"/>
    <s v="Marketing"/>
    <s v="Speciality Products"/>
    <x v="0"/>
    <s v="Caucasian"/>
    <n v="53"/>
    <x v="0"/>
    <x v="41"/>
    <n v="2013"/>
    <n v="11"/>
    <n v="113135"/>
    <n v="0.05"/>
    <s v="United States"/>
    <s v="Austin"/>
    <s v=""/>
  </r>
  <r>
    <s v="E03574"/>
    <s v="John Moore"/>
    <x v="9"/>
    <s v="IT"/>
    <s v="Speciality Products"/>
    <x v="1"/>
    <s v="Caucasian"/>
    <n v="52"/>
    <x v="0"/>
    <x v="42"/>
    <n v="2005"/>
    <n v="11"/>
    <n v="199808"/>
    <n v="0.32"/>
    <s v="United States"/>
    <s v="Seattle"/>
    <s v=""/>
  </r>
  <r>
    <s v="E04600"/>
    <s v="William Vu"/>
    <x v="5"/>
    <s v="Sales"/>
    <s v="Speciality Products"/>
    <x v="1"/>
    <s v="Asian"/>
    <n v="37"/>
    <x v="0"/>
    <x v="43"/>
    <n v="2013"/>
    <n v="11"/>
    <n v="56037"/>
    <n v="0"/>
    <s v="China"/>
    <s v="Shanghai"/>
    <s v=""/>
  </r>
  <r>
    <s v="E00586"/>
    <s v="Sadie Washington"/>
    <x v="0"/>
    <s v="Marketing"/>
    <s v="Research &amp; Development"/>
    <x v="0"/>
    <s v="Caucasian"/>
    <n v="29"/>
    <x v="1"/>
    <x v="44"/>
    <n v="2019"/>
    <n v="5"/>
    <n v="122350"/>
    <n v="0.12"/>
    <s v="United States"/>
    <s v="Phoenix"/>
    <s v=""/>
  </r>
  <r>
    <s v="E03538"/>
    <s v="Gabriel Holmes"/>
    <x v="14"/>
    <s v="IT"/>
    <s v="Research &amp; Development"/>
    <x v="1"/>
    <s v="Caucasian"/>
    <n v="40"/>
    <x v="0"/>
    <x v="45"/>
    <n v="2010"/>
    <n v="11"/>
    <n v="92952"/>
    <n v="0"/>
    <s v="United States"/>
    <s v="Seattle"/>
    <s v=""/>
  </r>
  <r>
    <s v="E02185"/>
    <s v="Wyatt Rojas"/>
    <x v="3"/>
    <s v="IT"/>
    <s v="Corporate"/>
    <x v="1"/>
    <s v="Latino"/>
    <n v="32"/>
    <x v="0"/>
    <x v="46"/>
    <n v="2013"/>
    <n v="3"/>
    <n v="79921"/>
    <n v="0.05"/>
    <s v="United States"/>
    <s v="Austin"/>
    <s v=""/>
  </r>
  <r>
    <s v="E03830"/>
    <s v="Eva Coleman"/>
    <x v="2"/>
    <s v="IT"/>
    <s v="Research &amp; Development"/>
    <x v="0"/>
    <s v="Black"/>
    <n v="37"/>
    <x v="0"/>
    <x v="47"/>
    <n v="2009"/>
    <n v="9"/>
    <n v="167199"/>
    <n v="0.2"/>
    <s v="United States"/>
    <s v="Seattle"/>
    <s v=""/>
  </r>
  <r>
    <s v="E03720"/>
    <s v="Dominic Clark"/>
    <x v="10"/>
    <s v="Engineering"/>
    <s v="Research &amp; Development"/>
    <x v="1"/>
    <s v="Caucasian"/>
    <n v="52"/>
    <x v="0"/>
    <x v="48"/>
    <n v="2012"/>
    <n v="10"/>
    <n v="71476"/>
    <n v="0"/>
    <s v="United States"/>
    <s v="Phoenix"/>
    <s v=""/>
  </r>
  <r>
    <s v="E03025"/>
    <s v="Lucy Alexander"/>
    <x v="2"/>
    <s v="Engineering"/>
    <s v="Manufacturing"/>
    <x v="0"/>
    <s v="Caucasian"/>
    <n v="45"/>
    <x v="0"/>
    <x v="49"/>
    <n v="2014"/>
    <n v="10"/>
    <n v="189420"/>
    <n v="0.2"/>
    <s v="United States"/>
    <s v="Seattle"/>
    <s v=""/>
  </r>
  <r>
    <s v="E04917"/>
    <s v="Everleigh Washington"/>
    <x v="16"/>
    <s v="Human Resources"/>
    <s v="Research &amp; Development"/>
    <x v="0"/>
    <s v="Caucasian"/>
    <n v="64"/>
    <x v="2"/>
    <x v="50"/>
    <n v="2001"/>
    <n v="10"/>
    <n v="64057"/>
    <n v="0"/>
    <s v="United States"/>
    <s v="Phoenix"/>
    <s v=""/>
  </r>
  <r>
    <s v="E00415"/>
    <s v="Leilani Butler"/>
    <x v="13"/>
    <s v="Marketing"/>
    <s v="Manufacturing"/>
    <x v="0"/>
    <s v="Black"/>
    <n v="27"/>
    <x v="1"/>
    <x v="51"/>
    <n v="2021"/>
    <n v="9"/>
    <n v="68728"/>
    <n v="0"/>
    <s v="United States"/>
    <s v="Phoenix"/>
    <s v=""/>
  </r>
  <r>
    <s v="E02862"/>
    <s v="Peyton Huang"/>
    <x v="0"/>
    <s v="IT"/>
    <s v="Manufacturing"/>
    <x v="0"/>
    <s v="Asian"/>
    <n v="25"/>
    <x v="1"/>
    <x v="52"/>
    <n v="2021"/>
    <n v="7"/>
    <n v="125633"/>
    <n v="0.11"/>
    <s v="China"/>
    <s v="Beijing"/>
    <s v=""/>
  </r>
  <r>
    <s v="E04207"/>
    <s v="John Contreras"/>
    <x v="13"/>
    <s v="Marketing"/>
    <s v="Manufacturing"/>
    <x v="1"/>
    <s v="Latino"/>
    <n v="35"/>
    <x v="0"/>
    <x v="53"/>
    <n v="2011"/>
    <n v="5"/>
    <n v="66889"/>
    <n v="0"/>
    <s v="United States"/>
    <s v="Columbus"/>
    <s v=""/>
  </r>
  <r>
    <s v="E02139"/>
    <s v="Rylee Yu"/>
    <x v="2"/>
    <s v="Accounting"/>
    <s v="Research &amp; Development"/>
    <x v="0"/>
    <s v="Asian"/>
    <n v="36"/>
    <x v="0"/>
    <x v="54"/>
    <n v="2015"/>
    <n v="9"/>
    <n v="178700"/>
    <n v="0.28999999999999998"/>
    <s v="United States"/>
    <s v="Seattle"/>
    <s v=""/>
  </r>
  <r>
    <s v="E01797"/>
    <s v="Piper Lewis"/>
    <x v="17"/>
    <s v="Engineering"/>
    <s v="Research &amp; Development"/>
    <x v="0"/>
    <s v="Caucasian"/>
    <n v="33"/>
    <x v="0"/>
    <x v="55"/>
    <n v="2018"/>
    <n v="12"/>
    <n v="83990"/>
    <n v="0"/>
    <s v="United States"/>
    <s v="Chicago"/>
    <s v=""/>
  </r>
  <r>
    <s v="E01839"/>
    <s v="Stella Alexander"/>
    <x v="18"/>
    <s v="Engineering"/>
    <s v="Corporate"/>
    <x v="0"/>
    <s v="Caucasian"/>
    <n v="52"/>
    <x v="0"/>
    <x v="56"/>
    <n v="2005"/>
    <n v="12"/>
    <n v="102043"/>
    <n v="0"/>
    <s v="United States"/>
    <s v="Chicago"/>
    <s v=""/>
  </r>
  <r>
    <s v="E01633"/>
    <s v="Addison Do"/>
    <x v="19"/>
    <s v="Engineering"/>
    <s v="Manufacturing"/>
    <x v="0"/>
    <s v="Asian"/>
    <n v="46"/>
    <x v="0"/>
    <x v="57"/>
    <n v="2001"/>
    <n v="5"/>
    <n v="90678"/>
    <n v="0"/>
    <s v="United States"/>
    <s v="Columbus"/>
    <s v=""/>
  </r>
  <r>
    <s v="E01848"/>
    <s v="Zoey Jackson"/>
    <x v="20"/>
    <s v="Human Resources"/>
    <s v="Manufacturing"/>
    <x v="0"/>
    <s v="Black"/>
    <n v="46"/>
    <x v="0"/>
    <x v="58"/>
    <n v="2008"/>
    <n v="8"/>
    <n v="59067"/>
    <n v="0"/>
    <s v="United States"/>
    <s v="Miami"/>
    <s v=""/>
  </r>
  <r>
    <s v="E00716"/>
    <s v="John Chow"/>
    <x v="0"/>
    <s v="Marketing"/>
    <s v="Research &amp; Development"/>
    <x v="1"/>
    <s v="Asian"/>
    <n v="45"/>
    <x v="0"/>
    <x v="59"/>
    <n v="2021"/>
    <n v="3"/>
    <n v="135062"/>
    <n v="0.15"/>
    <s v="China"/>
    <s v="Chengdu"/>
    <s v=""/>
  </r>
  <r>
    <s v="E00699"/>
    <s v="Ava Ayala"/>
    <x v="0"/>
    <s v="IT"/>
    <s v="Corporate"/>
    <x v="0"/>
    <s v="Latino"/>
    <n v="55"/>
    <x v="0"/>
    <x v="60"/>
    <n v="2006"/>
    <n v="8"/>
    <n v="159044"/>
    <n v="0.1"/>
    <s v="Brazil"/>
    <s v="Manaus"/>
    <s v=""/>
  </r>
  <r>
    <s v="E00502"/>
    <s v="Natalia Salazar"/>
    <x v="4"/>
    <s v="Accounting"/>
    <s v="Manufacturing"/>
    <x v="0"/>
    <s v="Latino"/>
    <n v="44"/>
    <x v="0"/>
    <x v="61"/>
    <n v="2019"/>
    <n v="1"/>
    <n v="74691"/>
    <n v="0"/>
    <s v="Brazil"/>
    <s v="Manaus"/>
    <d v="2020-07-08T00:00:00"/>
  </r>
  <r>
    <s v="E04000"/>
    <s v="Skylar Carrillo"/>
    <x v="11"/>
    <s v="Engineering"/>
    <s v="Corporate"/>
    <x v="0"/>
    <s v="Latino"/>
    <n v="44"/>
    <x v="0"/>
    <x v="62"/>
    <n v="2008"/>
    <n v="12"/>
    <n v="92753"/>
    <n v="0.13"/>
    <s v="United States"/>
    <s v="Austin"/>
    <d v="2021-06-24T00:00:00"/>
  </r>
  <r>
    <s v="E02112"/>
    <s v="Christian Sanders"/>
    <x v="9"/>
    <s v="Human Resources"/>
    <s v="Speciality Products"/>
    <x v="1"/>
    <s v="Black"/>
    <n v="45"/>
    <x v="0"/>
    <x v="63"/>
    <n v="2013"/>
    <n v="8"/>
    <n v="236946"/>
    <n v="0.37"/>
    <s v="United States"/>
    <s v="Seattle"/>
    <s v=""/>
  </r>
  <r>
    <s v="E03824"/>
    <s v="Penelope Coleman"/>
    <x v="7"/>
    <s v="Finance"/>
    <s v="Corporate"/>
    <x v="0"/>
    <s v="Black"/>
    <n v="36"/>
    <x v="0"/>
    <x v="64"/>
    <n v="2021"/>
    <n v="8"/>
    <n v="48906"/>
    <n v="0"/>
    <s v="United States"/>
    <s v="Miami"/>
    <s v=""/>
  </r>
  <r>
    <s v="E03906"/>
    <s v="Piper Richardson"/>
    <x v="4"/>
    <s v="Sales"/>
    <s v="Corporate"/>
    <x v="0"/>
    <s v="Caucasian"/>
    <n v="38"/>
    <x v="0"/>
    <x v="65"/>
    <n v="2008"/>
    <n v="1"/>
    <n v="80024"/>
    <n v="0"/>
    <s v="United States"/>
    <s v="Columbus"/>
    <s v=""/>
  </r>
  <r>
    <s v="E00436"/>
    <s v="Everly Walker"/>
    <x v="16"/>
    <s v="Human Resources"/>
    <s v="Speciality Products"/>
    <x v="0"/>
    <s v="Caucasian"/>
    <n v="41"/>
    <x v="0"/>
    <x v="66"/>
    <n v="2009"/>
    <n v="10"/>
    <n v="54415"/>
    <n v="0"/>
    <s v="United States"/>
    <s v="Seattle"/>
    <d v="2014-01-22T00:00:00"/>
  </r>
  <r>
    <s v="E04798"/>
    <s v="Aurora Ali"/>
    <x v="6"/>
    <s v="Marketing"/>
    <s v="Research &amp; Development"/>
    <x v="0"/>
    <s v="Asian"/>
    <n v="30"/>
    <x v="0"/>
    <x v="67"/>
    <n v="2016"/>
    <n v="4"/>
    <n v="120341"/>
    <n v="7.0000000000000007E-2"/>
    <s v="United States"/>
    <s v="Seattle"/>
    <s v=""/>
  </r>
  <r>
    <s v="E01249"/>
    <s v="Penelope Guerrero"/>
    <x v="9"/>
    <s v="IT"/>
    <s v="Speciality Products"/>
    <x v="0"/>
    <s v="Latino"/>
    <n v="43"/>
    <x v="0"/>
    <x v="68"/>
    <n v="2009"/>
    <n v="8"/>
    <n v="208415"/>
    <n v="0.35"/>
    <s v="United States"/>
    <s v="Seattle"/>
    <s v=""/>
  </r>
  <r>
    <s v="E03349"/>
    <s v="Anna Mehta"/>
    <x v="21"/>
    <s v="IT"/>
    <s v="Speciality Products"/>
    <x v="0"/>
    <s v="Asian"/>
    <n v="32"/>
    <x v="0"/>
    <x v="69"/>
    <n v="2020"/>
    <n v="1"/>
    <n v="78844"/>
    <n v="0"/>
    <s v="United States"/>
    <s v="Seattle"/>
    <s v=""/>
  </r>
  <r>
    <s v="E02966"/>
    <s v="William Foster"/>
    <x v="17"/>
    <s v="Engineering"/>
    <s v="Manufacturing"/>
    <x v="1"/>
    <s v="Caucasian"/>
    <n v="58"/>
    <x v="0"/>
    <x v="70"/>
    <n v="2002"/>
    <n v="5"/>
    <n v="76354"/>
    <n v="0"/>
    <s v="United States"/>
    <s v="Phoenix"/>
    <d v="2021-09-26T00:00:00"/>
  </r>
  <r>
    <s v="E01499"/>
    <s v="Jade Rojas"/>
    <x v="2"/>
    <s v="Finance"/>
    <s v="Speciality Products"/>
    <x v="0"/>
    <s v="Latino"/>
    <n v="37"/>
    <x v="0"/>
    <x v="71"/>
    <n v="2019"/>
    <n v="1"/>
    <n v="165927"/>
    <n v="0.2"/>
    <s v="United States"/>
    <s v="Phoenix"/>
    <s v=""/>
  </r>
  <r>
    <s v="E00105"/>
    <s v="Isla Espinoza"/>
    <x v="6"/>
    <s v="Accounting"/>
    <s v="Speciality Products"/>
    <x v="0"/>
    <s v="Latino"/>
    <n v="38"/>
    <x v="0"/>
    <x v="72"/>
    <n v="2021"/>
    <n v="11"/>
    <n v="109812"/>
    <n v="0.09"/>
    <s v="Brazil"/>
    <s v="Manaus"/>
    <s v=""/>
  </r>
  <r>
    <s v="E00665"/>
    <s v="David Chu"/>
    <x v="8"/>
    <s v="Engineering"/>
    <s v="Corporate"/>
    <x v="1"/>
    <s v="Asian"/>
    <n v="55"/>
    <x v="0"/>
    <x v="73"/>
    <n v="1998"/>
    <n v="9"/>
    <n v="86299"/>
    <n v="0"/>
    <s v="United States"/>
    <s v="Seattle"/>
    <s v=""/>
  </r>
  <r>
    <s v="E00791"/>
    <s v="Thomas Padilla"/>
    <x v="9"/>
    <s v="Marketing"/>
    <s v="Research &amp; Development"/>
    <x v="1"/>
    <s v="Latino"/>
    <n v="57"/>
    <x v="0"/>
    <x v="74"/>
    <n v="2003"/>
    <n v="7"/>
    <n v="206624"/>
    <n v="0.4"/>
    <s v="Brazil"/>
    <s v="Sao Paulo"/>
    <s v=""/>
  </r>
  <r>
    <s v="E01540"/>
    <s v="Miles Salazar"/>
    <x v="12"/>
    <s v="IT"/>
    <s v="Manufacturing"/>
    <x v="1"/>
    <s v="Latino"/>
    <n v="36"/>
    <x v="0"/>
    <x v="75"/>
    <n v="2010"/>
    <n v="12"/>
    <n v="53215"/>
    <n v="0"/>
    <s v="Brazil"/>
    <s v="Sao Paulo"/>
    <d v="2014-03-27T00:00:00"/>
  </r>
  <r>
    <s v="E04474"/>
    <s v="Mila Hong"/>
    <x v="22"/>
    <s v="Engineering"/>
    <s v="Research &amp; Development"/>
    <x v="0"/>
    <s v="Asian"/>
    <n v="30"/>
    <x v="0"/>
    <x v="76"/>
    <n v="2017"/>
    <n v="5"/>
    <n v="86858"/>
    <n v="0"/>
    <s v="China"/>
    <s v="Chongqing"/>
    <d v="2017-10-08T00:00:00"/>
  </r>
  <r>
    <s v="E03417"/>
    <s v="Benjamin Moua"/>
    <x v="3"/>
    <s v="IT"/>
    <s v="Manufacturing"/>
    <x v="1"/>
    <s v="Asian"/>
    <n v="40"/>
    <x v="0"/>
    <x v="77"/>
    <n v="2007"/>
    <n v="7"/>
    <n v="93971"/>
    <n v="0.08"/>
    <s v="China"/>
    <s v="Chongqing"/>
    <s v=""/>
  </r>
  <r>
    <s v="E00254"/>
    <s v="Samuel Morales"/>
    <x v="13"/>
    <s v="Finance"/>
    <s v="Corporate"/>
    <x v="1"/>
    <s v="Latino"/>
    <n v="34"/>
    <x v="0"/>
    <x v="78"/>
    <n v="2015"/>
    <n v="6"/>
    <n v="57008"/>
    <n v="0"/>
    <s v="United States"/>
    <s v="Phoenix"/>
    <s v=""/>
  </r>
  <r>
    <s v="E02166"/>
    <s v="John Soto"/>
    <x v="0"/>
    <s v="Finance"/>
    <s v="Manufacturing"/>
    <x v="1"/>
    <s v="Latino"/>
    <n v="60"/>
    <x v="2"/>
    <x v="79"/>
    <n v="2015"/>
    <n v="9"/>
    <n v="141899"/>
    <n v="0.15"/>
    <s v="United States"/>
    <s v="Phoenix"/>
    <s v=""/>
  </r>
  <r>
    <s v="E00935"/>
    <s v="Joseph Martin"/>
    <x v="13"/>
    <s v="Marketing"/>
    <s v="Corporate"/>
    <x v="1"/>
    <s v="Black"/>
    <n v="41"/>
    <x v="0"/>
    <x v="80"/>
    <n v="2016"/>
    <n v="9"/>
    <n v="64847"/>
    <n v="0"/>
    <s v="United States"/>
    <s v="Miami"/>
    <s v=""/>
  </r>
  <r>
    <s v="E01525"/>
    <s v="Jose Ross"/>
    <x v="11"/>
    <s v="Engineering"/>
    <s v="Research &amp; Development"/>
    <x v="1"/>
    <s v="Caucasian"/>
    <n v="53"/>
    <x v="0"/>
    <x v="81"/>
    <n v="1992"/>
    <n v="4"/>
    <n v="116878"/>
    <n v="0.11"/>
    <s v="United States"/>
    <s v="Miami"/>
    <s v=""/>
  </r>
  <r>
    <s v="E00386"/>
    <s v="Parker James"/>
    <x v="10"/>
    <s v="Engineering"/>
    <s v="Speciality Products"/>
    <x v="1"/>
    <s v="Black"/>
    <n v="45"/>
    <x v="0"/>
    <x v="26"/>
    <n v="2005"/>
    <n v="2"/>
    <n v="70505"/>
    <n v="0"/>
    <s v="United States"/>
    <s v="Austin"/>
    <s v=""/>
  </r>
  <r>
    <s v="E00416"/>
    <s v="Everleigh Fernandez"/>
    <x v="2"/>
    <s v="Engineering"/>
    <s v="Research &amp; Development"/>
    <x v="0"/>
    <s v="Latino"/>
    <n v="30"/>
    <x v="0"/>
    <x v="82"/>
    <n v="2016"/>
    <n v="5"/>
    <n v="189702"/>
    <n v="0.28000000000000003"/>
    <s v="Brazil"/>
    <s v="Manaus"/>
    <d v="2020-12-21T00:00:00"/>
  </r>
  <r>
    <s v="E03383"/>
    <s v="Lincoln Hall"/>
    <x v="2"/>
    <s v="Accounting"/>
    <s v="Speciality Products"/>
    <x v="1"/>
    <s v="Caucasian"/>
    <n v="26"/>
    <x v="1"/>
    <x v="83"/>
    <n v="2020"/>
    <n v="7"/>
    <n v="180664"/>
    <n v="0.27"/>
    <s v="United States"/>
    <s v="Chicago"/>
    <s v=""/>
  </r>
  <r>
    <s v="E01516"/>
    <s v="Willow Mai"/>
    <x v="20"/>
    <s v="Human Resources"/>
    <s v="Manufacturing"/>
    <x v="0"/>
    <s v="Asian"/>
    <n v="45"/>
    <x v="0"/>
    <x v="84"/>
    <n v="2003"/>
    <n v="12"/>
    <n v="48345"/>
    <n v="0"/>
    <s v="China"/>
    <s v="Chengdu"/>
    <s v=""/>
  </r>
  <r>
    <s v="E01234"/>
    <s v="Jack Cheng"/>
    <x v="2"/>
    <s v="Human Resources"/>
    <s v="Manufacturing"/>
    <x v="1"/>
    <s v="Asian"/>
    <n v="42"/>
    <x v="0"/>
    <x v="85"/>
    <n v="2014"/>
    <n v="1"/>
    <n v="152214"/>
    <n v="0.3"/>
    <s v="China"/>
    <s v="Beijing"/>
    <s v=""/>
  </r>
  <r>
    <s v="E03440"/>
    <s v="Genesis Navarro"/>
    <x v="21"/>
    <s v="IT"/>
    <s v="Corporate"/>
    <x v="0"/>
    <s v="Latino"/>
    <n v="41"/>
    <x v="0"/>
    <x v="86"/>
    <n v="2009"/>
    <n v="4"/>
    <n v="69803"/>
    <n v="0"/>
    <s v="Brazil"/>
    <s v="Manaus"/>
    <s v=""/>
  </r>
  <r>
    <s v="E00431"/>
    <s v="Eliza Hernandez"/>
    <x v="23"/>
    <s v="IT"/>
    <s v="Corporate"/>
    <x v="0"/>
    <s v="Latino"/>
    <n v="48"/>
    <x v="0"/>
    <x v="87"/>
    <n v="2019"/>
    <n v="7"/>
    <n v="76588"/>
    <n v="0"/>
    <s v="Brazil"/>
    <s v="Rio de Janerio"/>
    <s v=""/>
  </r>
  <r>
    <s v="E01258"/>
    <s v="Gabriel Brooks"/>
    <x v="24"/>
    <s v="IT"/>
    <s v="Manufacturing"/>
    <x v="1"/>
    <s v="Caucasian"/>
    <n v="29"/>
    <x v="1"/>
    <x v="88"/>
    <n v="2018"/>
    <n v="12"/>
    <n v="84596"/>
    <n v="0"/>
    <s v="United States"/>
    <s v="Miami"/>
    <s v=""/>
  </r>
  <r>
    <s v="E00440"/>
    <s v="Jack Huynh"/>
    <x v="6"/>
    <s v="Marketing"/>
    <s v="Research &amp; Development"/>
    <x v="1"/>
    <s v="Asian"/>
    <n v="27"/>
    <x v="1"/>
    <x v="89"/>
    <n v="2018"/>
    <n v="9"/>
    <n v="114441"/>
    <n v="0.1"/>
    <s v="China"/>
    <s v="Chongqing"/>
    <d v="2019-12-22T00:00:00"/>
  </r>
  <r>
    <s v="E00595"/>
    <s v="Everly Chow"/>
    <x v="0"/>
    <s v="Finance"/>
    <s v="Speciality Products"/>
    <x v="0"/>
    <s v="Asian"/>
    <n v="33"/>
    <x v="0"/>
    <x v="90"/>
    <n v="2018"/>
    <n v="4"/>
    <n v="140402"/>
    <n v="0.15"/>
    <s v="China"/>
    <s v="Beijing"/>
    <s v=""/>
  </r>
  <r>
    <s v="E00972"/>
    <s v="Amelia Salazar"/>
    <x v="13"/>
    <s v="Finance"/>
    <s v="Corporate"/>
    <x v="0"/>
    <s v="Latino"/>
    <n v="26"/>
    <x v="1"/>
    <x v="91"/>
    <n v="2019"/>
    <n v="4"/>
    <n v="59817"/>
    <n v="0"/>
    <s v="Brazil"/>
    <s v="Sao Paulo"/>
    <s v=""/>
  </r>
  <r>
    <s v="E04562"/>
    <s v="Xavier Zheng"/>
    <x v="5"/>
    <s v="Sales"/>
    <s v="Manufacturing"/>
    <x v="1"/>
    <s v="Asian"/>
    <n v="31"/>
    <x v="0"/>
    <x v="92"/>
    <n v="2017"/>
    <n v="7"/>
    <n v="55854"/>
    <n v="0"/>
    <s v="United States"/>
    <s v="Austin"/>
    <s v=""/>
  </r>
  <r>
    <s v="E02802"/>
    <s v="Matthew Chau"/>
    <x v="15"/>
    <s v="Human Resources"/>
    <s v="Research &amp; Development"/>
    <x v="1"/>
    <s v="Asian"/>
    <n v="53"/>
    <x v="0"/>
    <x v="93"/>
    <n v="2002"/>
    <n v="11"/>
    <n v="95998"/>
    <n v="0"/>
    <s v="United States"/>
    <s v="Seattle"/>
    <s v=""/>
  </r>
  <r>
    <s v="E01427"/>
    <s v="Mia Cheng"/>
    <x v="0"/>
    <s v="Sales"/>
    <s v="Manufacturing"/>
    <x v="0"/>
    <s v="Asian"/>
    <n v="34"/>
    <x v="0"/>
    <x v="94"/>
    <n v="2015"/>
    <n v="4"/>
    <n v="154941"/>
    <n v="0.13"/>
    <s v="United States"/>
    <s v="Phoenix"/>
    <s v=""/>
  </r>
  <r>
    <s v="E04568"/>
    <s v="Rylee Yu"/>
    <x v="9"/>
    <s v="Finance"/>
    <s v="Speciality Products"/>
    <x v="0"/>
    <s v="Asian"/>
    <n v="54"/>
    <x v="0"/>
    <x v="95"/>
    <n v="2011"/>
    <n v="7"/>
    <n v="247022"/>
    <n v="0.3"/>
    <s v="China"/>
    <s v="Beijing"/>
    <s v=""/>
  </r>
  <r>
    <s v="E04931"/>
    <s v="Zoe Romero"/>
    <x v="23"/>
    <s v="IT"/>
    <s v="Manufacturing"/>
    <x v="0"/>
    <s v="Latino"/>
    <n v="32"/>
    <x v="0"/>
    <x v="96"/>
    <n v="2021"/>
    <n v="10"/>
    <n v="88072"/>
    <n v="0"/>
    <s v="Brazil"/>
    <s v="Sao Paulo"/>
    <s v=""/>
  </r>
  <r>
    <s v="E00443"/>
    <s v="Nolan Bui"/>
    <x v="3"/>
    <s v="IT"/>
    <s v="Research &amp; Development"/>
    <x v="1"/>
    <s v="Asian"/>
    <n v="28"/>
    <x v="1"/>
    <x v="97"/>
    <n v="2020"/>
    <n v="5"/>
    <n v="67925"/>
    <n v="0.08"/>
    <s v="China"/>
    <s v="Shanghai"/>
    <s v=""/>
  </r>
  <r>
    <s v="E03890"/>
    <s v="Nevaeh Jones"/>
    <x v="9"/>
    <s v="Sales"/>
    <s v="Manufacturing"/>
    <x v="0"/>
    <s v="Caucasian"/>
    <n v="31"/>
    <x v="0"/>
    <x v="98"/>
    <n v="2020"/>
    <n v="8"/>
    <n v="219693"/>
    <n v="0.3"/>
    <s v="United States"/>
    <s v="Austin"/>
    <s v=""/>
  </r>
  <r>
    <s v="E01194"/>
    <s v="Samantha Adams"/>
    <x v="22"/>
    <s v="Engineering"/>
    <s v="Research &amp; Development"/>
    <x v="0"/>
    <s v="Caucasian"/>
    <n v="45"/>
    <x v="0"/>
    <x v="99"/>
    <n v="2013"/>
    <n v="4"/>
    <n v="61773"/>
    <n v="0"/>
    <s v="United States"/>
    <s v="Seattle"/>
    <s v=""/>
  </r>
  <r>
    <s v="E02875"/>
    <s v="Madeline Shin"/>
    <x v="3"/>
    <s v="IT"/>
    <s v="Speciality Products"/>
    <x v="0"/>
    <s v="Asian"/>
    <n v="48"/>
    <x v="0"/>
    <x v="100"/>
    <n v="2007"/>
    <n v="1"/>
    <n v="74546"/>
    <n v="0.09"/>
    <s v="United States"/>
    <s v="Seattle"/>
    <s v=""/>
  </r>
  <r>
    <s v="E04959"/>
    <s v="Noah King"/>
    <x v="25"/>
    <s v="Engineering"/>
    <s v="Speciality Products"/>
    <x v="1"/>
    <s v="Black"/>
    <n v="56"/>
    <x v="0"/>
    <x v="101"/>
    <n v="2015"/>
    <n v="1"/>
    <n v="62575"/>
    <n v="0"/>
    <s v="United States"/>
    <s v="Miami"/>
    <s v=""/>
  </r>
  <r>
    <s v="E03816"/>
    <s v="Leilani Chow"/>
    <x v="2"/>
    <s v="Human Resources"/>
    <s v="Corporate"/>
    <x v="0"/>
    <s v="Asian"/>
    <n v="27"/>
    <x v="1"/>
    <x v="102"/>
    <n v="2021"/>
    <n v="2"/>
    <n v="199041"/>
    <n v="0.16"/>
    <s v="China"/>
    <s v="Beijing"/>
    <s v=""/>
  </r>
  <r>
    <s v="E01261"/>
    <s v="Connor Simmons"/>
    <x v="13"/>
    <s v="Accounting"/>
    <s v="Speciality Products"/>
    <x v="1"/>
    <s v="Caucasian"/>
    <n v="55"/>
    <x v="0"/>
    <x v="103"/>
    <n v="2007"/>
    <n v="4"/>
    <n v="52310"/>
    <n v="0"/>
    <s v="United States"/>
    <s v="Miami"/>
    <d v="2018-10-12T00:00:00"/>
  </r>
  <r>
    <s v="E03612"/>
    <s v="Grayson Cooper"/>
    <x v="0"/>
    <s v="Finance"/>
    <s v="Speciality Products"/>
    <x v="1"/>
    <s v="Black"/>
    <n v="64"/>
    <x v="2"/>
    <x v="104"/>
    <n v="2013"/>
    <n v="6"/>
    <n v="159571"/>
    <n v="0.1"/>
    <s v="United States"/>
    <s v="Columbus"/>
    <s v=""/>
  </r>
  <r>
    <s v="E01388"/>
    <s v="Ivy Soto"/>
    <x v="17"/>
    <s v="Engineering"/>
    <s v="Research &amp; Development"/>
    <x v="0"/>
    <s v="Latino"/>
    <n v="50"/>
    <x v="0"/>
    <x v="105"/>
    <n v="1997"/>
    <n v="10"/>
    <n v="91763"/>
    <n v="0"/>
    <s v="United States"/>
    <s v="Austin"/>
    <s v=""/>
  </r>
  <r>
    <s v="E03875"/>
    <s v="Aurora Simmons"/>
    <x v="25"/>
    <s v="Engineering"/>
    <s v="Corporate"/>
    <x v="0"/>
    <s v="Caucasian"/>
    <n v="51"/>
    <x v="0"/>
    <x v="106"/>
    <n v="1995"/>
    <n v="12"/>
    <n v="96475"/>
    <n v="0"/>
    <s v="United States"/>
    <s v="Austin"/>
    <s v=""/>
  </r>
  <r>
    <s v="E04413"/>
    <s v="Andrew Thomas"/>
    <x v="8"/>
    <s v="Engineering"/>
    <s v="Manufacturing"/>
    <x v="1"/>
    <s v="Caucasian"/>
    <n v="36"/>
    <x v="0"/>
    <x v="107"/>
    <n v="2016"/>
    <n v="12"/>
    <n v="113781"/>
    <n v="0"/>
    <s v="United States"/>
    <s v="Columbus"/>
    <s v=""/>
  </r>
  <r>
    <s v="E00691"/>
    <s v="Ezekiel Desai"/>
    <x v="2"/>
    <s v="Finance"/>
    <s v="Research &amp; Development"/>
    <x v="1"/>
    <s v="Asian"/>
    <n v="42"/>
    <x v="0"/>
    <x v="108"/>
    <n v="2003"/>
    <n v="1"/>
    <n v="166599"/>
    <n v="0.26"/>
    <s v="United States"/>
    <s v="Seattle"/>
    <s v=""/>
  </r>
  <r>
    <s v="E03047"/>
    <s v="Gabriella Gupta"/>
    <x v="26"/>
    <s v="Sales"/>
    <s v="Corporate"/>
    <x v="0"/>
    <s v="Asian"/>
    <n v="41"/>
    <x v="0"/>
    <x v="109"/>
    <n v="2005"/>
    <n v="2"/>
    <n v="95372"/>
    <n v="0"/>
    <s v="China"/>
    <s v="Shanghai"/>
    <s v=""/>
  </r>
  <r>
    <s v="E04903"/>
    <s v="Skylar Liu"/>
    <x v="2"/>
    <s v="IT"/>
    <s v="Research &amp; Development"/>
    <x v="0"/>
    <s v="Asian"/>
    <n v="29"/>
    <x v="1"/>
    <x v="110"/>
    <n v="2020"/>
    <n v="8"/>
    <n v="161203"/>
    <n v="0.15"/>
    <s v="China"/>
    <s v="Chengdu"/>
    <s v=""/>
  </r>
  <r>
    <s v="E04735"/>
    <s v="Nova Coleman"/>
    <x v="27"/>
    <s v="IT"/>
    <s v="Manufacturing"/>
    <x v="0"/>
    <s v="Caucasian"/>
    <n v="44"/>
    <x v="0"/>
    <x v="111"/>
    <n v="2006"/>
    <n v="12"/>
    <n v="74738"/>
    <n v="0"/>
    <s v="United States"/>
    <s v="Miami"/>
    <s v=""/>
  </r>
  <r>
    <s v="E02850"/>
    <s v="Evelyn Dinh"/>
    <x v="2"/>
    <s v="Sales"/>
    <s v="Research &amp; Development"/>
    <x v="0"/>
    <s v="Asian"/>
    <n v="41"/>
    <x v="0"/>
    <x v="112"/>
    <n v="2018"/>
    <n v="8"/>
    <n v="171173"/>
    <n v="0.21"/>
    <s v="United States"/>
    <s v="Columbus"/>
    <s v=""/>
  </r>
  <r>
    <s v="E03583"/>
    <s v="Brooks Marquez"/>
    <x v="9"/>
    <s v="Sales"/>
    <s v="Corporate"/>
    <x v="1"/>
    <s v="Latino"/>
    <n v="61"/>
    <x v="2"/>
    <x v="113"/>
    <n v="2019"/>
    <n v="9"/>
    <n v="201464"/>
    <n v="0.37"/>
    <s v="United States"/>
    <s v="Chicago"/>
    <s v=""/>
  </r>
  <r>
    <s v="E02017"/>
    <s v="Connor Joseph"/>
    <x v="2"/>
    <s v="Human Resources"/>
    <s v="Corporate"/>
    <x v="1"/>
    <s v="Caucasian"/>
    <n v="50"/>
    <x v="0"/>
    <x v="114"/>
    <n v="1998"/>
    <n v="7"/>
    <n v="174895"/>
    <n v="0.15"/>
    <s v="United States"/>
    <s v="Chicago"/>
    <s v=""/>
  </r>
  <r>
    <s v="E01642"/>
    <s v="Mia Lam"/>
    <x v="0"/>
    <s v="IT"/>
    <s v="Manufacturing"/>
    <x v="0"/>
    <s v="Asian"/>
    <n v="49"/>
    <x v="0"/>
    <x v="115"/>
    <n v="2006"/>
    <n v="4"/>
    <n v="134486"/>
    <n v="0.14000000000000001"/>
    <s v="United States"/>
    <s v="Austin"/>
    <s v=""/>
  </r>
  <r>
    <s v="E04379"/>
    <s v="Scarlett Rodriguez"/>
    <x v="4"/>
    <s v="Finance"/>
    <s v="Manufacturing"/>
    <x v="0"/>
    <s v="Latino"/>
    <n v="60"/>
    <x v="2"/>
    <x v="116"/>
    <n v="2007"/>
    <n v="2"/>
    <n v="71699"/>
    <n v="0"/>
    <s v="Brazil"/>
    <s v="Manaus"/>
    <s v=""/>
  </r>
  <r>
    <s v="E04131"/>
    <s v="Cora Rivera"/>
    <x v="4"/>
    <s v="Marketing"/>
    <s v="Corporate"/>
    <x v="0"/>
    <s v="Latino"/>
    <n v="42"/>
    <x v="0"/>
    <x v="117"/>
    <n v="2021"/>
    <n v="1"/>
    <n v="94430"/>
    <n v="0"/>
    <s v="United States"/>
    <s v="Seattle"/>
    <s v=""/>
  </r>
  <r>
    <s v="E02872"/>
    <s v="Liam Jung"/>
    <x v="6"/>
    <s v="Finance"/>
    <s v="Corporate"/>
    <x v="1"/>
    <s v="Asian"/>
    <n v="39"/>
    <x v="0"/>
    <x v="118"/>
    <n v="2010"/>
    <n v="1"/>
    <n v="103504"/>
    <n v="7.0000000000000007E-2"/>
    <s v="China"/>
    <s v="Chengdu"/>
    <s v=""/>
  </r>
  <r>
    <s v="E02331"/>
    <s v="Sophia Huynh"/>
    <x v="14"/>
    <s v="IT"/>
    <s v="Manufacturing"/>
    <x v="0"/>
    <s v="Asian"/>
    <n v="55"/>
    <x v="0"/>
    <x v="119"/>
    <n v="2005"/>
    <n v="8"/>
    <n v="92771"/>
    <n v="0"/>
    <s v="United States"/>
    <s v="Miami"/>
    <s v=""/>
  </r>
  <r>
    <s v="E00417"/>
    <s v="Athena Carrillo"/>
    <x v="13"/>
    <s v="Finance"/>
    <s v="Speciality Products"/>
    <x v="0"/>
    <s v="Latino"/>
    <n v="39"/>
    <x v="0"/>
    <x v="120"/>
    <n v="2006"/>
    <n v="4"/>
    <n v="71531"/>
    <n v="0"/>
    <s v="United States"/>
    <s v="Columbus"/>
    <s v=""/>
  </r>
  <r>
    <s v="E04267"/>
    <s v="Greyson Sanders"/>
    <x v="21"/>
    <s v="IT"/>
    <s v="Speciality Products"/>
    <x v="1"/>
    <s v="Black"/>
    <n v="28"/>
    <x v="1"/>
    <x v="121"/>
    <n v="2019"/>
    <n v="3"/>
    <n v="90304"/>
    <n v="0"/>
    <s v="United States"/>
    <s v="Chicago"/>
    <s v=""/>
  </r>
  <r>
    <s v="E03061"/>
    <s v="Vivian Lewis"/>
    <x v="6"/>
    <s v="Marketing"/>
    <s v="Manufacturing"/>
    <x v="0"/>
    <s v="Caucasian"/>
    <n v="65"/>
    <x v="2"/>
    <x v="122"/>
    <n v="2011"/>
    <n v="9"/>
    <n v="104903"/>
    <n v="0.1"/>
    <s v="United States"/>
    <s v="Columbus"/>
    <s v=""/>
  </r>
  <r>
    <s v="E00013"/>
    <s v="Elena Vang"/>
    <x v="7"/>
    <s v="Finance"/>
    <s v="Corporate"/>
    <x v="0"/>
    <s v="Asian"/>
    <n v="52"/>
    <x v="0"/>
    <x v="123"/>
    <n v="2019"/>
    <n v="2"/>
    <n v="55859"/>
    <n v="0"/>
    <s v="China"/>
    <s v="Beijing"/>
    <s v=""/>
  </r>
  <r>
    <s v="E04265"/>
    <s v="Natalia Diaz"/>
    <x v="19"/>
    <s v="Engineering"/>
    <s v="Corporate"/>
    <x v="0"/>
    <s v="Latino"/>
    <n v="62"/>
    <x v="2"/>
    <x v="124"/>
    <n v="2006"/>
    <n v="10"/>
    <n v="79785"/>
    <n v="0"/>
    <s v="United States"/>
    <s v="Austin"/>
    <s v=""/>
  </r>
  <r>
    <s v="E04769"/>
    <s v="Mila Leung"/>
    <x v="4"/>
    <s v="Marketing"/>
    <s v="Corporate"/>
    <x v="0"/>
    <s v="Asian"/>
    <n v="39"/>
    <x v="0"/>
    <x v="125"/>
    <n v="2007"/>
    <n v="11"/>
    <n v="99017"/>
    <n v="0"/>
    <s v="China"/>
    <s v="Beijing"/>
    <s v=""/>
  </r>
  <r>
    <s v="E03042"/>
    <s v="Ava Nelson"/>
    <x v="28"/>
    <s v="IT"/>
    <s v="Manufacturing"/>
    <x v="0"/>
    <s v="Caucasian"/>
    <n v="63"/>
    <x v="2"/>
    <x v="126"/>
    <n v="1992"/>
    <n v="4"/>
    <n v="53809"/>
    <n v="0"/>
    <s v="United States"/>
    <s v="Phoenix"/>
    <s v=""/>
  </r>
  <r>
    <s v="E00527"/>
    <s v="Mateo Chu"/>
    <x v="17"/>
    <s v="Engineering"/>
    <s v="Speciality Products"/>
    <x v="1"/>
    <s v="Asian"/>
    <n v="27"/>
    <x v="1"/>
    <x v="127"/>
    <n v="2020"/>
    <n v="4"/>
    <n v="71864"/>
    <n v="0"/>
    <s v="China"/>
    <s v="Chengdu"/>
    <s v=""/>
  </r>
  <r>
    <s v="E01095"/>
    <s v="Isla Lai"/>
    <x v="9"/>
    <s v="Finance"/>
    <s v="Corporate"/>
    <x v="0"/>
    <s v="Asian"/>
    <n v="37"/>
    <x v="0"/>
    <x v="128"/>
    <n v="2011"/>
    <n v="12"/>
    <n v="225558"/>
    <n v="0.33"/>
    <s v="China"/>
    <s v="Shanghai"/>
    <s v=""/>
  </r>
  <r>
    <s v="E03131"/>
    <s v="Ezekiel Reed"/>
    <x v="0"/>
    <s v="IT"/>
    <s v="Manufacturing"/>
    <x v="1"/>
    <s v="Caucasian"/>
    <n v="37"/>
    <x v="0"/>
    <x v="129"/>
    <n v="2014"/>
    <n v="2"/>
    <n v="128984"/>
    <n v="0.12"/>
    <s v="United States"/>
    <s v="Miami"/>
    <d v="2021-05-01T00:00:00"/>
  </r>
  <r>
    <s v="E01713"/>
    <s v="Nolan Guzman"/>
    <x v="17"/>
    <s v="Engineering"/>
    <s v="Speciality Products"/>
    <x v="1"/>
    <s v="Latino"/>
    <n v="46"/>
    <x v="0"/>
    <x v="130"/>
    <n v="1999"/>
    <n v="6"/>
    <n v="96997"/>
    <n v="0"/>
    <s v="Brazil"/>
    <s v="Sao Paulo"/>
    <s v=""/>
  </r>
  <r>
    <s v="E00128"/>
    <s v="Everleigh Espinoza"/>
    <x v="2"/>
    <s v="Human Resources"/>
    <s v="Manufacturing"/>
    <x v="0"/>
    <s v="Latino"/>
    <n v="54"/>
    <x v="0"/>
    <x v="131"/>
    <n v="2018"/>
    <n v="1"/>
    <n v="176294"/>
    <n v="0.28000000000000003"/>
    <s v="United States"/>
    <s v="Austin"/>
    <s v=""/>
  </r>
  <r>
    <s v="E03849"/>
    <s v="Evelyn Jung"/>
    <x v="7"/>
    <s v="Sales"/>
    <s v="Research &amp; Development"/>
    <x v="0"/>
    <s v="Asian"/>
    <n v="30"/>
    <x v="0"/>
    <x v="132"/>
    <n v="2021"/>
    <n v="2"/>
    <n v="48340"/>
    <n v="0"/>
    <s v="China"/>
    <s v="Beijing"/>
    <s v=""/>
  </r>
  <r>
    <s v="E02464"/>
    <s v="Sophie Silva"/>
    <x v="9"/>
    <s v="Engineering"/>
    <s v="Corporate"/>
    <x v="0"/>
    <s v="Latino"/>
    <n v="28"/>
    <x v="1"/>
    <x v="133"/>
    <n v="2017"/>
    <n v="7"/>
    <n v="240488"/>
    <n v="0.4"/>
    <s v="Brazil"/>
    <s v="Rio de Janerio"/>
    <s v=""/>
  </r>
  <r>
    <s v="E00306"/>
    <s v="Mateo Williams"/>
    <x v="14"/>
    <s v="IT"/>
    <s v="Manufacturing"/>
    <x v="1"/>
    <s v="Caucasian"/>
    <n v="40"/>
    <x v="0"/>
    <x v="134"/>
    <n v="2011"/>
    <n v="1"/>
    <n v="97339"/>
    <n v="0"/>
    <s v="United States"/>
    <s v="Austin"/>
    <s v=""/>
  </r>
  <r>
    <s v="E03737"/>
    <s v="Kennedy Rahman"/>
    <x v="9"/>
    <s v="Human Resources"/>
    <s v="Manufacturing"/>
    <x v="0"/>
    <s v="Asian"/>
    <n v="49"/>
    <x v="0"/>
    <x v="135"/>
    <n v="2003"/>
    <n v="2"/>
    <n v="211291"/>
    <n v="0.37"/>
    <s v="China"/>
    <s v="Chongqing"/>
    <s v=""/>
  </r>
  <r>
    <s v="E02783"/>
    <s v="Levi Mendez"/>
    <x v="9"/>
    <s v="Sales"/>
    <s v="Research &amp; Development"/>
    <x v="1"/>
    <s v="Latino"/>
    <n v="39"/>
    <x v="0"/>
    <x v="136"/>
    <n v="2011"/>
    <n v="8"/>
    <n v="249506"/>
    <n v="0.3"/>
    <s v="Brazil"/>
    <s v="Rio de Janerio"/>
    <s v=""/>
  </r>
  <r>
    <s v="E02939"/>
    <s v="Julian Fong"/>
    <x v="10"/>
    <s v="Engineering"/>
    <s v="Speciality Products"/>
    <x v="1"/>
    <s v="Asian"/>
    <n v="61"/>
    <x v="2"/>
    <x v="137"/>
    <n v="2002"/>
    <n v="11"/>
    <n v="80950"/>
    <n v="0"/>
    <s v="China"/>
    <s v="Chongqing"/>
    <s v=""/>
  </r>
  <r>
    <s v="E02706"/>
    <s v="Nevaeh Kang"/>
    <x v="18"/>
    <s v="Engineering"/>
    <s v="Research &amp; Development"/>
    <x v="0"/>
    <s v="Asian"/>
    <n v="46"/>
    <x v="0"/>
    <x v="138"/>
    <n v="2021"/>
    <n v="1"/>
    <n v="86538"/>
    <n v="0"/>
    <s v="China"/>
    <s v="Chengdu"/>
    <s v=""/>
  </r>
  <r>
    <s v="E00170"/>
    <s v="Hannah Nelson"/>
    <x v="4"/>
    <s v="Marketing"/>
    <s v="Speciality Products"/>
    <x v="0"/>
    <s v="Caucasian"/>
    <n v="35"/>
    <x v="0"/>
    <x v="139"/>
    <n v="2019"/>
    <n v="9"/>
    <n v="70992"/>
    <n v="0"/>
    <s v="United States"/>
    <s v="Austin"/>
    <s v=""/>
  </r>
  <r>
    <s v="E01425"/>
    <s v="Anthony Rogers"/>
    <x v="9"/>
    <s v="Engineering"/>
    <s v="Corporate"/>
    <x v="1"/>
    <s v="Caucasian"/>
    <n v="33"/>
    <x v="0"/>
    <x v="140"/>
    <n v="2015"/>
    <n v="6"/>
    <n v="205314"/>
    <n v="0.3"/>
    <s v="United States"/>
    <s v="Columbus"/>
    <s v=""/>
  </r>
  <r>
    <s v="E00130"/>
    <s v="Paisley Kang"/>
    <x v="9"/>
    <s v="Human Resources"/>
    <s v="Corporate"/>
    <x v="0"/>
    <s v="Asian"/>
    <n v="61"/>
    <x v="2"/>
    <x v="141"/>
    <n v="2017"/>
    <n v="3"/>
    <n v="196951"/>
    <n v="0.33"/>
    <s v="China"/>
    <s v="Beijing"/>
    <s v=""/>
  </r>
  <r>
    <s v="E02094"/>
    <s v="Matthew Gupta"/>
    <x v="24"/>
    <s v="IT"/>
    <s v="Speciality Products"/>
    <x v="1"/>
    <s v="Asian"/>
    <n v="45"/>
    <x v="0"/>
    <x v="142"/>
    <n v="2005"/>
    <n v="9"/>
    <n v="67686"/>
    <n v="0"/>
    <s v="China"/>
    <s v="Beijing"/>
    <s v=""/>
  </r>
  <r>
    <s v="E03567"/>
    <s v="Silas Chavez"/>
    <x v="1"/>
    <s v="IT"/>
    <s v="Research &amp; Development"/>
    <x v="1"/>
    <s v="Latino"/>
    <n v="51"/>
    <x v="0"/>
    <x v="143"/>
    <n v="2008"/>
    <n v="4"/>
    <n v="86431"/>
    <n v="0"/>
    <s v="United States"/>
    <s v="Columbus"/>
    <s v=""/>
  </r>
  <r>
    <s v="E04682"/>
    <s v="Colton Thao"/>
    <x v="6"/>
    <s v="Human Resources"/>
    <s v="Manufacturing"/>
    <x v="1"/>
    <s v="Asian"/>
    <n v="55"/>
    <x v="0"/>
    <x v="144"/>
    <n v="1995"/>
    <n v="11"/>
    <n v="125936"/>
    <n v="0.08"/>
    <s v="China"/>
    <s v="Chongqing"/>
    <s v=""/>
  </r>
  <r>
    <s v="E00957"/>
    <s v="Genesis Perry"/>
    <x v="0"/>
    <s v="Sales"/>
    <s v="Corporate"/>
    <x v="0"/>
    <s v="Caucasian"/>
    <n v="46"/>
    <x v="0"/>
    <x v="145"/>
    <n v="2013"/>
    <n v="7"/>
    <n v="149712"/>
    <n v="0.14000000000000001"/>
    <s v="United States"/>
    <s v="Columbus"/>
    <s v=""/>
  </r>
  <r>
    <s v="E04458"/>
    <s v="Alexander Bryant"/>
    <x v="17"/>
    <s v="Engineering"/>
    <s v="Speciality Products"/>
    <x v="1"/>
    <s v="Caucasian"/>
    <n v="30"/>
    <x v="0"/>
    <x v="146"/>
    <n v="2021"/>
    <n v="10"/>
    <n v="88758"/>
    <n v="0"/>
    <s v="United States"/>
    <s v="Seattle"/>
    <s v=""/>
  </r>
  <r>
    <s v="E01499"/>
    <s v="Elias Zhang"/>
    <x v="29"/>
    <s v="IT"/>
    <s v="Research &amp; Development"/>
    <x v="1"/>
    <s v="Asian"/>
    <n v="54"/>
    <x v="0"/>
    <x v="147"/>
    <n v="2013"/>
    <n v="7"/>
    <n v="83639"/>
    <n v="0"/>
    <s v="China"/>
    <s v="Beijing"/>
    <s v=""/>
  </r>
  <r>
    <s v="E00521"/>
    <s v="Lily Carter"/>
    <x v="23"/>
    <s v="IT"/>
    <s v="Research &amp; Development"/>
    <x v="0"/>
    <s v="Caucasian"/>
    <n v="54"/>
    <x v="0"/>
    <x v="148"/>
    <n v="1998"/>
    <n v="5"/>
    <n v="68268"/>
    <n v="0"/>
    <s v="United States"/>
    <s v="Phoenix"/>
    <s v=""/>
  </r>
  <r>
    <s v="E03717"/>
    <s v="Joseph Ruiz"/>
    <x v="17"/>
    <s v="Engineering"/>
    <s v="Manufacturing"/>
    <x v="1"/>
    <s v="Latino"/>
    <n v="45"/>
    <x v="0"/>
    <x v="149"/>
    <n v="2002"/>
    <n v="2"/>
    <n v="75819"/>
    <n v="0"/>
    <s v="Brazil"/>
    <s v="Sao Paulo"/>
    <s v=""/>
  </r>
  <r>
    <s v="E01533"/>
    <s v="Avery Bailey"/>
    <x v="4"/>
    <s v="Sales"/>
    <s v="Speciality Products"/>
    <x v="0"/>
    <s v="Caucasian"/>
    <n v="49"/>
    <x v="0"/>
    <x v="150"/>
    <n v="1996"/>
    <n v="5"/>
    <n v="86658"/>
    <n v="0"/>
    <s v="United States"/>
    <s v="Phoenix"/>
    <s v=""/>
  </r>
  <r>
    <s v="E04449"/>
    <s v="Miles Hsu"/>
    <x v="13"/>
    <s v="Finance"/>
    <s v="Research &amp; Development"/>
    <x v="1"/>
    <s v="Asian"/>
    <n v="55"/>
    <x v="0"/>
    <x v="151"/>
    <n v="2014"/>
    <n v="3"/>
    <n v="74552"/>
    <n v="0"/>
    <s v="China"/>
    <s v="Chengdu"/>
    <s v=""/>
  </r>
  <r>
    <s v="E02855"/>
    <s v="Piper Cheng"/>
    <x v="14"/>
    <s v="IT"/>
    <s v="Manufacturing"/>
    <x v="0"/>
    <s v="Asian"/>
    <n v="62"/>
    <x v="2"/>
    <x v="152"/>
    <n v="2009"/>
    <n v="3"/>
    <n v="82839"/>
    <n v="0"/>
    <s v="United States"/>
    <s v="Miami"/>
    <s v=""/>
  </r>
  <r>
    <s v="E00816"/>
    <s v="Skylar Watson"/>
    <x v="23"/>
    <s v="IT"/>
    <s v="Speciality Products"/>
    <x v="0"/>
    <s v="Caucasian"/>
    <n v="28"/>
    <x v="1"/>
    <x v="153"/>
    <n v="2021"/>
    <n v="10"/>
    <n v="64475"/>
    <n v="0"/>
    <s v="United States"/>
    <s v="Phoenix"/>
    <s v=""/>
  </r>
  <r>
    <s v="E02283"/>
    <s v="Jaxon Park"/>
    <x v="23"/>
    <s v="IT"/>
    <s v="Manufacturing"/>
    <x v="1"/>
    <s v="Asian"/>
    <n v="33"/>
    <x v="0"/>
    <x v="154"/>
    <n v="2020"/>
    <n v="7"/>
    <n v="69453"/>
    <n v="0"/>
    <s v="China"/>
    <s v="Chengdu"/>
    <s v=""/>
  </r>
  <r>
    <s v="E04888"/>
    <s v="Elijah Henry"/>
    <x v="6"/>
    <s v="IT"/>
    <s v="Corporate"/>
    <x v="1"/>
    <s v="Caucasian"/>
    <n v="32"/>
    <x v="0"/>
    <x v="155"/>
    <n v="2014"/>
    <n v="1"/>
    <n v="127148"/>
    <n v="0.1"/>
    <s v="United States"/>
    <s v="Miami"/>
    <s v=""/>
  </r>
  <r>
    <s v="E03907"/>
    <s v="Camila Watson"/>
    <x v="9"/>
    <s v="Finance"/>
    <s v="Speciality Products"/>
    <x v="0"/>
    <s v="Caucasian"/>
    <n v="32"/>
    <x v="0"/>
    <x v="156"/>
    <n v="2018"/>
    <n v="1"/>
    <n v="190253"/>
    <n v="0.33"/>
    <s v="United States"/>
    <s v="Austin"/>
    <s v=""/>
  </r>
  <r>
    <s v="E02166"/>
    <s v="Lucas Thomas"/>
    <x v="6"/>
    <s v="Accounting"/>
    <s v="Research &amp; Development"/>
    <x v="1"/>
    <s v="Caucasian"/>
    <n v="55"/>
    <x v="0"/>
    <x v="157"/>
    <n v="2000"/>
    <n v="4"/>
    <n v="115798"/>
    <n v="0.05"/>
    <s v="United States"/>
    <s v="Miami"/>
    <s v=""/>
  </r>
  <r>
    <s v="E00431"/>
    <s v="Skylar Doan"/>
    <x v="15"/>
    <s v="Human Resources"/>
    <s v="Research &amp; Development"/>
    <x v="0"/>
    <s v="Asian"/>
    <n v="58"/>
    <x v="0"/>
    <x v="158"/>
    <n v="1994"/>
    <n v="8"/>
    <n v="93102"/>
    <n v="0"/>
    <s v="United States"/>
    <s v="Seattle"/>
    <d v="2013-12-13T00:00:00"/>
  </r>
  <r>
    <s v="E01501"/>
    <s v="Hudson Liu"/>
    <x v="11"/>
    <s v="Engineering"/>
    <s v="Speciality Products"/>
    <x v="1"/>
    <s v="Asian"/>
    <n v="34"/>
    <x v="0"/>
    <x v="159"/>
    <n v="2017"/>
    <n v="11"/>
    <n v="110054"/>
    <n v="0.15"/>
    <s v="United States"/>
    <s v="Miami"/>
    <s v=""/>
  </r>
  <r>
    <s v="E01141"/>
    <s v="Gianna Williams"/>
    <x v="10"/>
    <s v="Engineering"/>
    <s v="Research &amp; Development"/>
    <x v="0"/>
    <s v="Black"/>
    <n v="27"/>
    <x v="1"/>
    <x v="160"/>
    <n v="2021"/>
    <n v="1"/>
    <n v="95786"/>
    <n v="0"/>
    <s v="United States"/>
    <s v="Chicago"/>
    <s v=""/>
  </r>
  <r>
    <s v="E02254"/>
    <s v="Jaxson Sandoval"/>
    <x v="4"/>
    <s v="Sales"/>
    <s v="Speciality Products"/>
    <x v="1"/>
    <s v="Latino"/>
    <n v="61"/>
    <x v="2"/>
    <x v="161"/>
    <n v="2017"/>
    <n v="5"/>
    <n v="90855"/>
    <n v="0"/>
    <s v="Brazil"/>
    <s v="Sao Paulo"/>
    <s v=""/>
  </r>
  <r>
    <s v="E04504"/>
    <s v="Jameson Alvarado"/>
    <x v="14"/>
    <s v="IT"/>
    <s v="Manufacturing"/>
    <x v="1"/>
    <s v="Latino"/>
    <n v="47"/>
    <x v="0"/>
    <x v="12"/>
    <n v="1999"/>
    <n v="3"/>
    <n v="92897"/>
    <n v="0"/>
    <s v="Brazil"/>
    <s v="Sao Paulo"/>
    <s v=""/>
  </r>
  <r>
    <s v="E03394"/>
    <s v="Joseph Ly"/>
    <x v="9"/>
    <s v="Marketing"/>
    <s v="Speciality Products"/>
    <x v="1"/>
    <s v="Asian"/>
    <n v="40"/>
    <x v="0"/>
    <x v="162"/>
    <n v="2009"/>
    <n v="2"/>
    <n v="242919"/>
    <n v="0.31"/>
    <s v="China"/>
    <s v="Chongqing"/>
    <s v=""/>
  </r>
  <r>
    <s v="E02942"/>
    <s v="Daniel Richardson"/>
    <x v="2"/>
    <s v="Engineering"/>
    <s v="Speciality Products"/>
    <x v="1"/>
    <s v="Caucasian"/>
    <n v="30"/>
    <x v="0"/>
    <x v="163"/>
    <n v="2018"/>
    <n v="5"/>
    <n v="184368"/>
    <n v="0.28999999999999998"/>
    <s v="United States"/>
    <s v="Austin"/>
    <s v=""/>
  </r>
  <r>
    <s v="E04130"/>
    <s v="Elias Figueroa"/>
    <x v="0"/>
    <s v="Finance"/>
    <s v="Corporate"/>
    <x v="1"/>
    <s v="Latino"/>
    <n v="45"/>
    <x v="0"/>
    <x v="164"/>
    <n v="2021"/>
    <n v="12"/>
    <n v="144754"/>
    <n v="0.15"/>
    <s v="United States"/>
    <s v="Phoenix"/>
    <s v=""/>
  </r>
  <r>
    <s v="E02848"/>
    <s v="Emma Brooks"/>
    <x v="26"/>
    <s v="Sales"/>
    <s v="Research &amp; Development"/>
    <x v="0"/>
    <s v="Caucasian"/>
    <n v="30"/>
    <x v="0"/>
    <x v="165"/>
    <n v="2016"/>
    <n v="12"/>
    <n v="89458"/>
    <n v="0"/>
    <s v="United States"/>
    <s v="Austin"/>
    <s v=""/>
  </r>
  <r>
    <s v="E00085"/>
    <s v="Isla Wong"/>
    <x v="9"/>
    <s v="Accounting"/>
    <s v="Corporate"/>
    <x v="0"/>
    <s v="Asian"/>
    <n v="56"/>
    <x v="0"/>
    <x v="151"/>
    <n v="2014"/>
    <n v="3"/>
    <n v="190815"/>
    <n v="0.4"/>
    <s v="United States"/>
    <s v="Austin"/>
    <s v=""/>
  </r>
  <r>
    <s v="E03956"/>
    <s v="Everly Walker"/>
    <x v="0"/>
    <s v="Sales"/>
    <s v="Research &amp; Development"/>
    <x v="0"/>
    <s v="Caucasian"/>
    <n v="62"/>
    <x v="2"/>
    <x v="166"/>
    <n v="1999"/>
    <n v="8"/>
    <n v="137995"/>
    <n v="0.14000000000000001"/>
    <s v="United States"/>
    <s v="Austin"/>
    <s v=""/>
  </r>
  <r>
    <s v="E00672"/>
    <s v="Mila Pena"/>
    <x v="15"/>
    <s v="Human Resources"/>
    <s v="Manufacturing"/>
    <x v="0"/>
    <s v="Latino"/>
    <n v="45"/>
    <x v="0"/>
    <x v="167"/>
    <n v="2007"/>
    <n v="12"/>
    <n v="93840"/>
    <n v="0"/>
    <s v="Brazil"/>
    <s v="Manaus"/>
    <s v=""/>
  </r>
  <r>
    <s v="E04618"/>
    <s v="Mason Zhao"/>
    <x v="1"/>
    <s v="IT"/>
    <s v="Research &amp; Development"/>
    <x v="1"/>
    <s v="Asian"/>
    <n v="46"/>
    <x v="0"/>
    <x v="168"/>
    <n v="2021"/>
    <n v="10"/>
    <n v="94790"/>
    <n v="0"/>
    <s v="China"/>
    <s v="Chongqing"/>
    <s v=""/>
  </r>
  <r>
    <s v="E03506"/>
    <s v="Jaxson Mai"/>
    <x v="9"/>
    <s v="Human Resources"/>
    <s v="Research &amp; Development"/>
    <x v="1"/>
    <s v="Asian"/>
    <n v="48"/>
    <x v="0"/>
    <x v="169"/>
    <n v="2014"/>
    <n v="3"/>
    <n v="197367"/>
    <n v="0.39"/>
    <s v="United States"/>
    <s v="Austin"/>
    <s v=""/>
  </r>
  <r>
    <s v="E00568"/>
    <s v="Ava Garza"/>
    <x v="2"/>
    <s v="Accounting"/>
    <s v="Manufacturing"/>
    <x v="0"/>
    <s v="Latino"/>
    <n v="27"/>
    <x v="1"/>
    <x v="170"/>
    <n v="2018"/>
    <n v="6"/>
    <n v="174097"/>
    <n v="0.21"/>
    <s v="United States"/>
    <s v="Phoenix"/>
    <s v=""/>
  </r>
  <r>
    <s v="E00535"/>
    <s v="Nathan Mendez"/>
    <x v="6"/>
    <s v="IT"/>
    <s v="Speciality Products"/>
    <x v="1"/>
    <s v="Latino"/>
    <n v="53"/>
    <x v="0"/>
    <x v="171"/>
    <n v="2006"/>
    <n v="10"/>
    <n v="120128"/>
    <n v="0.1"/>
    <s v="United States"/>
    <s v="Austin"/>
    <s v=""/>
  </r>
  <r>
    <s v="E04630"/>
    <s v="Maria Griffin"/>
    <x v="6"/>
    <s v="Marketing"/>
    <s v="Manufacturing"/>
    <x v="0"/>
    <s v="Caucasian"/>
    <n v="59"/>
    <x v="0"/>
    <x v="172"/>
    <n v="2007"/>
    <n v="4"/>
    <n v="129708"/>
    <n v="0.05"/>
    <s v="United States"/>
    <s v="Miami"/>
    <s v=""/>
  </r>
  <r>
    <s v="E00874"/>
    <s v="Alexander Choi"/>
    <x v="6"/>
    <s v="Marketing"/>
    <s v="Research &amp; Development"/>
    <x v="1"/>
    <s v="Asian"/>
    <n v="55"/>
    <x v="0"/>
    <x v="173"/>
    <n v="1994"/>
    <n v="9"/>
    <n v="102270"/>
    <n v="0.1"/>
    <s v="United States"/>
    <s v="Chicago"/>
    <s v=""/>
  </r>
  <r>
    <s v="E01546"/>
    <s v="Maria Hong"/>
    <x v="9"/>
    <s v="Finance"/>
    <s v="Speciality Products"/>
    <x v="0"/>
    <s v="Asian"/>
    <n v="43"/>
    <x v="0"/>
    <x v="174"/>
    <n v="2005"/>
    <n v="7"/>
    <n v="249686"/>
    <n v="0.31"/>
    <s v="China"/>
    <s v="Chongqing"/>
    <s v=""/>
  </r>
  <r>
    <s v="E00941"/>
    <s v="Sophie Ali"/>
    <x v="7"/>
    <s v="Finance"/>
    <s v="Manufacturing"/>
    <x v="0"/>
    <s v="Asian"/>
    <n v="55"/>
    <x v="0"/>
    <x v="175"/>
    <n v="2002"/>
    <n v="3"/>
    <n v="50475"/>
    <n v="0"/>
    <s v="United States"/>
    <s v="Columbus"/>
    <s v=""/>
  </r>
  <r>
    <s v="E03446"/>
    <s v="Julian Ross"/>
    <x v="6"/>
    <s v="Marketing"/>
    <s v="Research &amp; Development"/>
    <x v="1"/>
    <s v="Caucasian"/>
    <n v="51"/>
    <x v="0"/>
    <x v="176"/>
    <n v="2020"/>
    <n v="7"/>
    <n v="100099"/>
    <n v="0.08"/>
    <s v="United States"/>
    <s v="Miami"/>
    <s v=""/>
  </r>
  <r>
    <s v="E01361"/>
    <s v="Emma Hill"/>
    <x v="12"/>
    <s v="IT"/>
    <s v="Manufacturing"/>
    <x v="0"/>
    <s v="Caucasian"/>
    <n v="54"/>
    <x v="0"/>
    <x v="177"/>
    <n v="2016"/>
    <n v="12"/>
    <n v="41673"/>
    <n v="0"/>
    <s v="United States"/>
    <s v="Miami"/>
    <s v=""/>
  </r>
  <r>
    <s v="E01631"/>
    <s v="Leilani Yee"/>
    <x v="4"/>
    <s v="Marketing"/>
    <s v="Speciality Products"/>
    <x v="0"/>
    <s v="Asian"/>
    <n v="47"/>
    <x v="0"/>
    <x v="178"/>
    <n v="2017"/>
    <n v="7"/>
    <n v="70996"/>
    <n v="0"/>
    <s v="China"/>
    <s v="Chengdu"/>
    <s v=""/>
  </r>
  <r>
    <s v="E03719"/>
    <s v="Jack Brown"/>
    <x v="7"/>
    <s v="Marketing"/>
    <s v="Corporate"/>
    <x v="1"/>
    <s v="Caucasian"/>
    <n v="55"/>
    <x v="0"/>
    <x v="179"/>
    <n v="2004"/>
    <n v="12"/>
    <n v="40752"/>
    <n v="0"/>
    <s v="United States"/>
    <s v="Phoenix"/>
    <s v=""/>
  </r>
  <r>
    <s v="E03269"/>
    <s v="Charlotte Chu"/>
    <x v="24"/>
    <s v="IT"/>
    <s v="Manufacturing"/>
    <x v="0"/>
    <s v="Asian"/>
    <n v="50"/>
    <x v="0"/>
    <x v="180"/>
    <n v="2001"/>
    <n v="1"/>
    <n v="97537"/>
    <n v="0"/>
    <s v="China"/>
    <s v="Chengdu"/>
    <s v=""/>
  </r>
  <r>
    <s v="E01037"/>
    <s v="Jeremiah Chu"/>
    <x v="30"/>
    <s v="IT"/>
    <s v="Research &amp; Development"/>
    <x v="1"/>
    <s v="Asian"/>
    <n v="31"/>
    <x v="0"/>
    <x v="181"/>
    <n v="2020"/>
    <n v="9"/>
    <n v="96567"/>
    <n v="0"/>
    <s v="China"/>
    <s v="Shanghai"/>
    <s v=""/>
  </r>
  <r>
    <s v="E00671"/>
    <s v="Miles Cho"/>
    <x v="28"/>
    <s v="IT"/>
    <s v="Speciality Products"/>
    <x v="1"/>
    <s v="Asian"/>
    <n v="47"/>
    <x v="0"/>
    <x v="182"/>
    <n v="1999"/>
    <n v="3"/>
    <n v="49404"/>
    <n v="0"/>
    <s v="China"/>
    <s v="Beijing"/>
    <s v=""/>
  </r>
  <r>
    <s v="E02216"/>
    <s v="Caleb Marquez"/>
    <x v="30"/>
    <s v="IT"/>
    <s v="Research &amp; Development"/>
    <x v="1"/>
    <s v="Latino"/>
    <n v="29"/>
    <x v="1"/>
    <x v="183"/>
    <n v="2019"/>
    <n v="10"/>
    <n v="66819"/>
    <n v="0"/>
    <s v="Brazil"/>
    <s v="Rio de Janerio"/>
    <s v=""/>
  </r>
  <r>
    <s v="E02803"/>
    <s v="Eli Soto"/>
    <x v="7"/>
    <s v="Marketing"/>
    <s v="Speciality Products"/>
    <x v="1"/>
    <s v="Latino"/>
    <n v="38"/>
    <x v="0"/>
    <x v="184"/>
    <n v="2016"/>
    <n v="5"/>
    <n v="50784"/>
    <n v="0"/>
    <s v="Brazil"/>
    <s v="Rio de Janerio"/>
    <s v=""/>
  </r>
  <r>
    <s v="E01584"/>
    <s v="Carter Mejia"/>
    <x v="0"/>
    <s v="Human Resources"/>
    <s v="Research &amp; Development"/>
    <x v="1"/>
    <s v="Latino"/>
    <n v="29"/>
    <x v="1"/>
    <x v="185"/>
    <n v="2019"/>
    <n v="5"/>
    <n v="125828"/>
    <n v="0.15"/>
    <s v="Brazil"/>
    <s v="Sao Paulo"/>
    <s v=""/>
  </r>
  <r>
    <s v="E02489"/>
    <s v="Ethan Clark"/>
    <x v="15"/>
    <s v="Human Resources"/>
    <s v="Manufacturing"/>
    <x v="1"/>
    <s v="Caucasian"/>
    <n v="33"/>
    <x v="0"/>
    <x v="186"/>
    <n v="2017"/>
    <n v="8"/>
    <n v="92610"/>
    <n v="0"/>
    <s v="United States"/>
    <s v="Columbus"/>
    <s v=""/>
  </r>
  <r>
    <s v="E03189"/>
    <s v="Asher Jackson"/>
    <x v="0"/>
    <s v="Sales"/>
    <s v="Speciality Products"/>
    <x v="1"/>
    <s v="Caucasian"/>
    <n v="50"/>
    <x v="0"/>
    <x v="187"/>
    <n v="2003"/>
    <n v="3"/>
    <n v="123405"/>
    <n v="0.13"/>
    <s v="United States"/>
    <s v="Columbus"/>
    <s v=""/>
  </r>
  <r>
    <s v="E03560"/>
    <s v="Ayla Ng"/>
    <x v="5"/>
    <s v="Sales"/>
    <s v="Manufacturing"/>
    <x v="0"/>
    <s v="Asian"/>
    <n v="46"/>
    <x v="0"/>
    <x v="188"/>
    <n v="2004"/>
    <n v="3"/>
    <n v="73004"/>
    <n v="0"/>
    <s v="China"/>
    <s v="Beijing"/>
    <s v=""/>
  </r>
  <r>
    <s v="E00769"/>
    <s v="Jose Kang"/>
    <x v="11"/>
    <s v="Engineering"/>
    <s v="Corporate"/>
    <x v="1"/>
    <s v="Asian"/>
    <n v="57"/>
    <x v="0"/>
    <x v="189"/>
    <n v="1999"/>
    <n v="4"/>
    <n v="95061"/>
    <n v="0.1"/>
    <s v="China"/>
    <s v="Shanghai"/>
    <s v=""/>
  </r>
  <r>
    <s v="E02791"/>
    <s v="Aubrey Romero"/>
    <x v="2"/>
    <s v="Sales"/>
    <s v="Corporate"/>
    <x v="0"/>
    <s v="Latino"/>
    <n v="49"/>
    <x v="0"/>
    <x v="190"/>
    <n v="1998"/>
    <n v="4"/>
    <n v="160832"/>
    <n v="0.3"/>
    <s v="United States"/>
    <s v="Phoenix"/>
    <s v=""/>
  </r>
  <r>
    <s v="E02333"/>
    <s v="Jaxson Wright"/>
    <x v="31"/>
    <s v="IT"/>
    <s v="Manufacturing"/>
    <x v="1"/>
    <s v="Black"/>
    <n v="54"/>
    <x v="0"/>
    <x v="191"/>
    <n v="2010"/>
    <n v="12"/>
    <n v="64417"/>
    <n v="0"/>
    <s v="United States"/>
    <s v="Columbus"/>
    <s v=""/>
  </r>
  <r>
    <s v="E01002"/>
    <s v="Elias Ali"/>
    <x v="6"/>
    <s v="Sales"/>
    <s v="Corporate"/>
    <x v="1"/>
    <s v="Asian"/>
    <n v="28"/>
    <x v="1"/>
    <x v="192"/>
    <n v="2021"/>
    <n v="3"/>
    <n v="127543"/>
    <n v="0.06"/>
    <s v="China"/>
    <s v="Shanghai"/>
    <s v=""/>
  </r>
  <r>
    <s v="E03520"/>
    <s v="Nolan Pena"/>
    <x v="7"/>
    <s v="Marketing"/>
    <s v="Manufacturing"/>
    <x v="1"/>
    <s v="Latino"/>
    <n v="30"/>
    <x v="0"/>
    <x v="193"/>
    <n v="2018"/>
    <n v="6"/>
    <n v="56154"/>
    <n v="0"/>
    <s v="Brazil"/>
    <s v="Sao Paulo"/>
    <s v=""/>
  </r>
  <r>
    <s v="E00752"/>
    <s v="Luna Liu"/>
    <x v="9"/>
    <s v="Sales"/>
    <s v="Manufacturing"/>
    <x v="0"/>
    <s v="Asian"/>
    <n v="36"/>
    <x v="0"/>
    <x v="194"/>
    <n v="2014"/>
    <n v="2"/>
    <n v="218530"/>
    <n v="0.3"/>
    <s v="China"/>
    <s v="Shanghai"/>
    <s v=""/>
  </r>
  <r>
    <s v="E00233"/>
    <s v="Brooklyn Reyes"/>
    <x v="31"/>
    <s v="IT"/>
    <s v="Manufacturing"/>
    <x v="0"/>
    <s v="Latino"/>
    <n v="36"/>
    <x v="0"/>
    <x v="195"/>
    <n v="2019"/>
    <n v="12"/>
    <n v="91954"/>
    <n v="0"/>
    <s v="United States"/>
    <s v="Columbus"/>
    <s v=""/>
  </r>
  <r>
    <s v="E02639"/>
    <s v="Hadley Parker"/>
    <x v="9"/>
    <s v="Marketing"/>
    <s v="Corporate"/>
    <x v="0"/>
    <s v="Black"/>
    <n v="30"/>
    <x v="0"/>
    <x v="196"/>
    <n v="2016"/>
    <n v="9"/>
    <n v="221217"/>
    <n v="0.32"/>
    <s v="United States"/>
    <s v="Columbus"/>
    <d v="2017-09-25T00:00:00"/>
  </r>
  <r>
    <s v="E00697"/>
    <s v="Jonathan Chavez"/>
    <x v="27"/>
    <s v="IT"/>
    <s v="Manufacturing"/>
    <x v="1"/>
    <s v="Latino"/>
    <n v="29"/>
    <x v="1"/>
    <x v="197"/>
    <n v="2017"/>
    <n v="5"/>
    <n v="87536"/>
    <n v="0"/>
    <s v="United States"/>
    <s v="Seattle"/>
    <s v=""/>
  </r>
  <r>
    <s v="E02183"/>
    <s v="Sarah Ayala"/>
    <x v="7"/>
    <s v="Sales"/>
    <s v="Corporate"/>
    <x v="0"/>
    <s v="Latino"/>
    <n v="47"/>
    <x v="0"/>
    <x v="198"/>
    <n v="2015"/>
    <n v="6"/>
    <n v="41429"/>
    <n v="0"/>
    <s v="United States"/>
    <s v="Seattle"/>
    <s v=""/>
  </r>
  <r>
    <s v="E00715"/>
    <s v="Elijah Kang"/>
    <x v="9"/>
    <s v="Engineering"/>
    <s v="Manufacturing"/>
    <x v="1"/>
    <s v="Asian"/>
    <n v="35"/>
    <x v="0"/>
    <x v="199"/>
    <n v="2011"/>
    <n v="10"/>
    <n v="245482"/>
    <n v="0.39"/>
    <s v="United States"/>
    <s v="Seattle"/>
    <s v=""/>
  </r>
  <r>
    <s v="E04288"/>
    <s v="Ella White"/>
    <x v="25"/>
    <s v="Engineering"/>
    <s v="Manufacturing"/>
    <x v="0"/>
    <s v="Caucasian"/>
    <n v="25"/>
    <x v="1"/>
    <x v="200"/>
    <n v="2020"/>
    <n v="1"/>
    <n v="71359"/>
    <n v="0"/>
    <s v="United States"/>
    <s v="Phoenix"/>
    <s v=""/>
  </r>
  <r>
    <s v="E02421"/>
    <s v="Jordan Truong"/>
    <x v="2"/>
    <s v="Engineering"/>
    <s v="Speciality Products"/>
    <x v="1"/>
    <s v="Asian"/>
    <n v="45"/>
    <x v="0"/>
    <x v="201"/>
    <n v="2014"/>
    <n v="8"/>
    <n v="183161"/>
    <n v="0.22"/>
    <s v="United States"/>
    <s v="Miami"/>
    <s v=""/>
  </r>
  <r>
    <s v="E00523"/>
    <s v="Daniel Jordan"/>
    <x v="32"/>
    <s v="IT"/>
    <s v="Corporate"/>
    <x v="1"/>
    <s v="Caucasian"/>
    <n v="58"/>
    <x v="0"/>
    <x v="202"/>
    <n v="1993"/>
    <n v="7"/>
    <n v="69260"/>
    <n v="0"/>
    <s v="United States"/>
    <s v="Phoenix"/>
    <s v=""/>
  </r>
  <r>
    <s v="E03615"/>
    <s v="Daniel Dixon"/>
    <x v="19"/>
    <s v="Engineering"/>
    <s v="Speciality Products"/>
    <x v="1"/>
    <s v="Caucasian"/>
    <n v="51"/>
    <x v="0"/>
    <x v="203"/>
    <n v="1999"/>
    <n v="10"/>
    <n v="95639"/>
    <n v="0"/>
    <s v="United States"/>
    <s v="Austin"/>
    <s v=""/>
  </r>
  <r>
    <s v="E02761"/>
    <s v="Luca Duong"/>
    <x v="6"/>
    <s v="Human Resources"/>
    <s v="Research &amp; Development"/>
    <x v="1"/>
    <s v="Asian"/>
    <n v="48"/>
    <x v="0"/>
    <x v="204"/>
    <n v="2004"/>
    <n v="6"/>
    <n v="120660"/>
    <n v="7.0000000000000007E-2"/>
    <s v="China"/>
    <s v="Chengdu"/>
    <s v=""/>
  </r>
  <r>
    <s v="E02121"/>
    <s v="Levi Brown"/>
    <x v="4"/>
    <s v="Sales"/>
    <s v="Corporate"/>
    <x v="1"/>
    <s v="Black"/>
    <n v="36"/>
    <x v="0"/>
    <x v="205"/>
    <n v="2021"/>
    <n v="12"/>
    <n v="75119"/>
    <n v="0"/>
    <s v="United States"/>
    <s v="Chicago"/>
    <s v=""/>
  </r>
  <r>
    <s v="E01486"/>
    <s v="Mason Cho"/>
    <x v="9"/>
    <s v="Accounting"/>
    <s v="Research &amp; Development"/>
    <x v="1"/>
    <s v="Asian"/>
    <n v="59"/>
    <x v="0"/>
    <x v="206"/>
    <n v="2011"/>
    <n v="5"/>
    <n v="192213"/>
    <n v="0.4"/>
    <s v="United States"/>
    <s v="Chicago"/>
    <s v=""/>
  </r>
  <r>
    <s v="E00725"/>
    <s v="Nova Herrera"/>
    <x v="5"/>
    <s v="Sales"/>
    <s v="Speciality Products"/>
    <x v="0"/>
    <s v="Latino"/>
    <n v="45"/>
    <x v="0"/>
    <x v="207"/>
    <n v="2014"/>
    <n v="5"/>
    <n v="65047"/>
    <n v="0"/>
    <s v="Brazil"/>
    <s v="Sao Paulo"/>
    <s v=""/>
  </r>
  <r>
    <s v="E03027"/>
    <s v="Elijah Watson"/>
    <x v="0"/>
    <s v="Sales"/>
    <s v="Manufacturing"/>
    <x v="1"/>
    <s v="Caucasian"/>
    <n v="29"/>
    <x v="1"/>
    <x v="208"/>
    <n v="2017"/>
    <n v="3"/>
    <n v="151413"/>
    <n v="0.15"/>
    <s v="United States"/>
    <s v="Seattle"/>
    <s v=""/>
  </r>
  <r>
    <s v="E03689"/>
    <s v="Wesley Gray"/>
    <x v="4"/>
    <s v="Accounting"/>
    <s v="Speciality Products"/>
    <x v="1"/>
    <s v="Caucasian"/>
    <n v="62"/>
    <x v="2"/>
    <x v="209"/>
    <n v="2003"/>
    <n v="4"/>
    <n v="76906"/>
    <n v="0"/>
    <s v="United States"/>
    <s v="Seattle"/>
    <s v=""/>
  </r>
  <r>
    <s v="E01986"/>
    <s v="Wesley Sharma"/>
    <x v="6"/>
    <s v="IT"/>
    <s v="Corporate"/>
    <x v="1"/>
    <s v="Asian"/>
    <n v="51"/>
    <x v="0"/>
    <x v="210"/>
    <n v="1994"/>
    <n v="2"/>
    <n v="122802"/>
    <n v="0.05"/>
    <s v="China"/>
    <s v="Shanghai"/>
    <s v=""/>
  </r>
  <r>
    <s v="E01286"/>
    <s v="Mateo Mendez"/>
    <x v="25"/>
    <s v="Engineering"/>
    <s v="Research &amp; Development"/>
    <x v="1"/>
    <s v="Latino"/>
    <n v="47"/>
    <x v="0"/>
    <x v="211"/>
    <n v="1998"/>
    <n v="7"/>
    <n v="99091"/>
    <n v="0"/>
    <s v="United States"/>
    <s v="Austin"/>
    <s v=""/>
  </r>
  <r>
    <s v="E01409"/>
    <s v="Jose Molina"/>
    <x v="8"/>
    <s v="Engineering"/>
    <s v="Manufacturing"/>
    <x v="1"/>
    <s v="Latino"/>
    <n v="40"/>
    <x v="0"/>
    <x v="212"/>
    <n v="2008"/>
    <n v="2"/>
    <n v="113987"/>
    <n v="0"/>
    <s v="Brazil"/>
    <s v="Manaus"/>
    <s v=""/>
  </r>
  <r>
    <s v="E00626"/>
    <s v="Luna Simmons"/>
    <x v="4"/>
    <s v="Finance"/>
    <s v="Corporate"/>
    <x v="0"/>
    <s v="Caucasian"/>
    <n v="28"/>
    <x v="1"/>
    <x v="213"/>
    <n v="2020"/>
    <n v="9"/>
    <n v="95045"/>
    <n v="0"/>
    <s v="United States"/>
    <s v="Chicago"/>
    <s v=""/>
  </r>
  <r>
    <s v="E04342"/>
    <s v="Samantha Barnes"/>
    <x v="9"/>
    <s v="Marketing"/>
    <s v="Speciality Products"/>
    <x v="0"/>
    <s v="Caucasian"/>
    <n v="29"/>
    <x v="1"/>
    <x v="214"/>
    <n v="2017"/>
    <n v="1"/>
    <n v="190401"/>
    <n v="0.37"/>
    <s v="United States"/>
    <s v="Columbus"/>
    <s v=""/>
  </r>
  <r>
    <s v="E03904"/>
    <s v="Hunter Ortiz"/>
    <x v="4"/>
    <s v="Finance"/>
    <s v="Corporate"/>
    <x v="1"/>
    <s v="Latino"/>
    <n v="46"/>
    <x v="0"/>
    <x v="215"/>
    <n v="2013"/>
    <n v="1"/>
    <n v="86061"/>
    <n v="0"/>
    <s v="Brazil"/>
    <s v="Rio de Janerio"/>
    <s v=""/>
  </r>
  <r>
    <s v="E01291"/>
    <s v="Thomas Aguilar"/>
    <x v="26"/>
    <s v="Sales"/>
    <s v="Speciality Products"/>
    <x v="1"/>
    <s v="Latino"/>
    <n v="45"/>
    <x v="0"/>
    <x v="216"/>
    <n v="2021"/>
    <n v="2"/>
    <n v="79882"/>
    <n v="0"/>
    <s v="United States"/>
    <s v="Phoenix"/>
    <s v=""/>
  </r>
  <r>
    <s v="E00917"/>
    <s v="Skylar Bell"/>
    <x v="9"/>
    <s v="Engineering"/>
    <s v="Manufacturing"/>
    <x v="0"/>
    <s v="Caucasian"/>
    <n v="30"/>
    <x v="0"/>
    <x v="217"/>
    <n v="2018"/>
    <n v="3"/>
    <n v="255431"/>
    <n v="0.36"/>
    <s v="United States"/>
    <s v="Columbus"/>
    <s v=""/>
  </r>
  <r>
    <s v="E01484"/>
    <s v="Anna Zhu"/>
    <x v="31"/>
    <s v="IT"/>
    <s v="Manufacturing"/>
    <x v="0"/>
    <s v="Asian"/>
    <n v="48"/>
    <x v="0"/>
    <x v="218"/>
    <n v="2003"/>
    <n v="8"/>
    <n v="82017"/>
    <n v="0"/>
    <s v="China"/>
    <s v="Beijing"/>
    <s v=""/>
  </r>
  <r>
    <s v="E03864"/>
    <s v="Ella Hunter"/>
    <x v="7"/>
    <s v="Finance"/>
    <s v="Manufacturing"/>
    <x v="0"/>
    <s v="Caucasian"/>
    <n v="51"/>
    <x v="0"/>
    <x v="219"/>
    <n v="2017"/>
    <n v="1"/>
    <n v="53799"/>
    <n v="0"/>
    <s v="United States"/>
    <s v="Columbus"/>
    <s v=""/>
  </r>
  <r>
    <s v="E00488"/>
    <s v="Emery Hunter"/>
    <x v="4"/>
    <s v="Sales"/>
    <s v="Corporate"/>
    <x v="0"/>
    <s v="Caucasian"/>
    <n v="28"/>
    <x v="1"/>
    <x v="220"/>
    <n v="2021"/>
    <n v="7"/>
    <n v="82739"/>
    <n v="0"/>
    <s v="United States"/>
    <s v="Phoenix"/>
    <s v=""/>
  </r>
  <r>
    <s v="E02227"/>
    <s v="Sofia Parker"/>
    <x v="21"/>
    <s v="IT"/>
    <s v="Manufacturing"/>
    <x v="0"/>
    <s v="Caucasian"/>
    <n v="36"/>
    <x v="0"/>
    <x v="221"/>
    <n v="2014"/>
    <n v="5"/>
    <n v="99080"/>
    <n v="0"/>
    <s v="United States"/>
    <s v="Chicago"/>
    <s v=""/>
  </r>
  <r>
    <s v="E04802"/>
    <s v="Lucy Fong"/>
    <x v="26"/>
    <s v="Sales"/>
    <s v="Corporate"/>
    <x v="0"/>
    <s v="Asian"/>
    <n v="40"/>
    <x v="0"/>
    <x v="222"/>
    <n v="2011"/>
    <n v="1"/>
    <n v="96719"/>
    <n v="0"/>
    <s v="China"/>
    <s v="Chengdu"/>
    <s v=""/>
  </r>
  <r>
    <s v="E01970"/>
    <s v="Vivian Barnes"/>
    <x v="2"/>
    <s v="Human Resources"/>
    <s v="Research &amp; Development"/>
    <x v="0"/>
    <s v="Caucasian"/>
    <n v="51"/>
    <x v="0"/>
    <x v="223"/>
    <n v="2021"/>
    <n v="3"/>
    <n v="180687"/>
    <n v="0.19"/>
    <s v="United States"/>
    <s v="Phoenix"/>
    <s v=""/>
  </r>
  <r>
    <s v="E02813"/>
    <s v="Kai Chow"/>
    <x v="11"/>
    <s v="Engineering"/>
    <s v="Corporate"/>
    <x v="1"/>
    <s v="Asian"/>
    <n v="45"/>
    <x v="0"/>
    <x v="224"/>
    <n v="2001"/>
    <n v="4"/>
    <n v="95743"/>
    <n v="0.15"/>
    <s v="United States"/>
    <s v="Austin"/>
    <d v="2010-01-15T00:00:00"/>
  </r>
  <r>
    <s v="E02031"/>
    <s v="Melody Cooper"/>
    <x v="25"/>
    <s v="Engineering"/>
    <s v="Research &amp; Development"/>
    <x v="0"/>
    <s v="Caucasian"/>
    <n v="44"/>
    <x v="0"/>
    <x v="225"/>
    <n v="2009"/>
    <n v="9"/>
    <n v="89695"/>
    <n v="0"/>
    <s v="United States"/>
    <s v="Austin"/>
    <s v=""/>
  </r>
  <r>
    <s v="E03252"/>
    <s v="James Bui"/>
    <x v="6"/>
    <s v="Finance"/>
    <s v="Manufacturing"/>
    <x v="1"/>
    <s v="Asian"/>
    <n v="64"/>
    <x v="2"/>
    <x v="226"/>
    <n v="1998"/>
    <n v="7"/>
    <n v="122753"/>
    <n v="0.09"/>
    <s v="China"/>
    <s v="Chongqing"/>
    <s v=""/>
  </r>
  <r>
    <s v="E04871"/>
    <s v="Liam Grant"/>
    <x v="15"/>
    <s v="Human Resources"/>
    <s v="Research &amp; Development"/>
    <x v="1"/>
    <s v="Caucasian"/>
    <n v="30"/>
    <x v="0"/>
    <x v="227"/>
    <n v="2015"/>
    <n v="3"/>
    <n v="93734"/>
    <n v="0"/>
    <s v="United States"/>
    <s v="Phoenix"/>
    <s v=""/>
  </r>
  <r>
    <s v="E03547"/>
    <s v="Owen Han"/>
    <x v="7"/>
    <s v="Accounting"/>
    <s v="Corporate"/>
    <x v="1"/>
    <s v="Asian"/>
    <n v="28"/>
    <x v="1"/>
    <x v="228"/>
    <n v="2017"/>
    <n v="5"/>
    <n v="52069"/>
    <n v="0"/>
    <s v="China"/>
    <s v="Chongqing"/>
    <s v=""/>
  </r>
  <r>
    <s v="E04742"/>
    <s v="Kinsley Vega"/>
    <x v="9"/>
    <s v="Accounting"/>
    <s v="Corporate"/>
    <x v="0"/>
    <s v="Latino"/>
    <n v="33"/>
    <x v="0"/>
    <x v="229"/>
    <n v="2020"/>
    <n v="12"/>
    <n v="258426"/>
    <n v="0.4"/>
    <s v="Brazil"/>
    <s v="Rio de Janerio"/>
    <s v=""/>
  </r>
  <r>
    <s v="E01070"/>
    <s v="Leonardo Martin"/>
    <x v="6"/>
    <s v="Finance"/>
    <s v="Speciality Products"/>
    <x v="1"/>
    <s v="Black"/>
    <n v="51"/>
    <x v="0"/>
    <x v="230"/>
    <n v="1995"/>
    <n v="2"/>
    <n v="125375"/>
    <n v="0.09"/>
    <s v="United States"/>
    <s v="Chicago"/>
    <s v=""/>
  </r>
  <r>
    <s v="E04359"/>
    <s v="Greyson Lam"/>
    <x v="9"/>
    <s v="Accounting"/>
    <s v="Manufacturing"/>
    <x v="1"/>
    <s v="Asian"/>
    <n v="25"/>
    <x v="1"/>
    <x v="231"/>
    <n v="2021"/>
    <n v="2"/>
    <n v="198243"/>
    <n v="0.31"/>
    <s v="United States"/>
    <s v="Miami"/>
    <s v=""/>
  </r>
  <r>
    <s v="E03268"/>
    <s v="Emilia Rivera"/>
    <x v="22"/>
    <s v="Engineering"/>
    <s v="Research &amp; Development"/>
    <x v="0"/>
    <s v="Latino"/>
    <n v="42"/>
    <x v="0"/>
    <x v="232"/>
    <n v="2017"/>
    <n v="11"/>
    <n v="96023"/>
    <n v="0"/>
    <s v="United States"/>
    <s v="Miami"/>
    <s v=""/>
  </r>
  <r>
    <s v="E04035"/>
    <s v="Penelope Johnson"/>
    <x v="4"/>
    <s v="Marketing"/>
    <s v="Research &amp; Development"/>
    <x v="0"/>
    <s v="Caucasian"/>
    <n v="34"/>
    <x v="0"/>
    <x v="233"/>
    <n v="2012"/>
    <n v="6"/>
    <n v="83066"/>
    <n v="0"/>
    <s v="United States"/>
    <s v="Chicago"/>
    <d v="2013-06-05T00:00:00"/>
  </r>
  <r>
    <s v="E01221"/>
    <s v="Eva Figueroa"/>
    <x v="13"/>
    <s v="Sales"/>
    <s v="Research &amp; Development"/>
    <x v="0"/>
    <s v="Latino"/>
    <n v="48"/>
    <x v="0"/>
    <x v="234"/>
    <n v="2014"/>
    <n v="5"/>
    <n v="61216"/>
    <n v="0"/>
    <s v="United States"/>
    <s v="Seattle"/>
    <s v=""/>
  </r>
  <r>
    <s v="E00276"/>
    <s v="Ezekiel Jordan"/>
    <x v="0"/>
    <s v="Accounting"/>
    <s v="Corporate"/>
    <x v="1"/>
    <s v="Caucasian"/>
    <n v="33"/>
    <x v="0"/>
    <x v="235"/>
    <n v="2013"/>
    <n v="2"/>
    <n v="144231"/>
    <n v="0.14000000000000001"/>
    <s v="United States"/>
    <s v="Columbus"/>
    <d v="2020-07-17T00:00:00"/>
  </r>
  <r>
    <s v="E01687"/>
    <s v="Luke Mai"/>
    <x v="16"/>
    <s v="Human Resources"/>
    <s v="Research &amp; Development"/>
    <x v="1"/>
    <s v="Asian"/>
    <n v="41"/>
    <x v="0"/>
    <x v="236"/>
    <n v="2007"/>
    <n v="10"/>
    <n v="51630"/>
    <n v="0"/>
    <s v="China"/>
    <s v="Beijing"/>
    <s v=""/>
  </r>
  <r>
    <s v="E02844"/>
    <s v="Charles Diaz"/>
    <x v="0"/>
    <s v="Sales"/>
    <s v="Corporate"/>
    <x v="1"/>
    <s v="Latino"/>
    <n v="55"/>
    <x v="0"/>
    <x v="237"/>
    <n v="2013"/>
    <n v="11"/>
    <n v="124129"/>
    <n v="0.15"/>
    <s v="Brazil"/>
    <s v="Sao Paulo"/>
    <s v=""/>
  </r>
  <r>
    <s v="E01263"/>
    <s v="Adam Espinoza"/>
    <x v="22"/>
    <s v="Engineering"/>
    <s v="Manufacturing"/>
    <x v="1"/>
    <s v="Latino"/>
    <n v="36"/>
    <x v="0"/>
    <x v="238"/>
    <n v="2009"/>
    <n v="4"/>
    <n v="60055"/>
    <n v="0"/>
    <s v="United States"/>
    <s v="Seattle"/>
    <s v=""/>
  </r>
  <r>
    <s v="E00119"/>
    <s v="Jack Maldonado"/>
    <x v="2"/>
    <s v="Engineering"/>
    <s v="Research &amp; Development"/>
    <x v="1"/>
    <s v="Latino"/>
    <n v="31"/>
    <x v="0"/>
    <x v="239"/>
    <n v="2020"/>
    <n v="8"/>
    <n v="189290"/>
    <n v="0.22"/>
    <s v="Brazil"/>
    <s v="Sao Paulo"/>
    <d v="2020-09-25T00:00:00"/>
  </r>
  <r>
    <s v="E03935"/>
    <s v="Cora Jiang"/>
    <x v="9"/>
    <s v="IT"/>
    <s v="Corporate"/>
    <x v="0"/>
    <s v="Asian"/>
    <n v="53"/>
    <x v="0"/>
    <x v="240"/>
    <n v="2008"/>
    <n v="4"/>
    <n v="182202"/>
    <n v="0.3"/>
    <s v="United States"/>
    <s v="Austin"/>
    <s v=""/>
  </r>
  <r>
    <s v="E00742"/>
    <s v="Cooper Mitchell"/>
    <x v="6"/>
    <s v="Sales"/>
    <s v="Speciality Products"/>
    <x v="1"/>
    <s v="Caucasian"/>
    <n v="43"/>
    <x v="0"/>
    <x v="241"/>
    <n v="2006"/>
    <n v="1"/>
    <n v="117518"/>
    <n v="7.0000000000000007E-2"/>
    <s v="United States"/>
    <s v="Seattle"/>
    <s v=""/>
  </r>
  <r>
    <s v="E02810"/>
    <s v="Layla Torres"/>
    <x v="0"/>
    <s v="Finance"/>
    <s v="Manufacturing"/>
    <x v="0"/>
    <s v="Latino"/>
    <n v="37"/>
    <x v="0"/>
    <x v="242"/>
    <n v="2013"/>
    <n v="2"/>
    <n v="157474"/>
    <n v="0.11"/>
    <s v="Brazil"/>
    <s v="Rio de Janerio"/>
    <s v=""/>
  </r>
  <r>
    <s v="E01860"/>
    <s v="Jack Edwards"/>
    <x v="6"/>
    <s v="Marketing"/>
    <s v="Manufacturing"/>
    <x v="1"/>
    <s v="Caucasian"/>
    <n v="38"/>
    <x v="0"/>
    <x v="243"/>
    <n v="2008"/>
    <n v="4"/>
    <n v="126856"/>
    <n v="0.06"/>
    <s v="United States"/>
    <s v="Columbus"/>
    <s v=""/>
  </r>
  <r>
    <s v="E04890"/>
    <s v="Eleanor Chan"/>
    <x v="0"/>
    <s v="Accounting"/>
    <s v="Manufacturing"/>
    <x v="0"/>
    <s v="Asian"/>
    <n v="49"/>
    <x v="0"/>
    <x v="244"/>
    <n v="2001"/>
    <n v="4"/>
    <n v="129124"/>
    <n v="0.12"/>
    <s v="China"/>
    <s v="Shanghai"/>
    <s v=""/>
  </r>
  <r>
    <s v="E02285"/>
    <s v="Aria Xi"/>
    <x v="2"/>
    <s v="Sales"/>
    <s v="Research &amp; Development"/>
    <x v="0"/>
    <s v="Asian"/>
    <n v="45"/>
    <x v="0"/>
    <x v="245"/>
    <n v="2002"/>
    <n v="3"/>
    <n v="165181"/>
    <n v="0.16"/>
    <s v="United States"/>
    <s v="Seattle"/>
    <s v=""/>
  </r>
  <r>
    <s v="E00842"/>
    <s v="John Vega"/>
    <x v="9"/>
    <s v="Finance"/>
    <s v="Corporate"/>
    <x v="1"/>
    <s v="Latino"/>
    <n v="50"/>
    <x v="0"/>
    <x v="246"/>
    <n v="2004"/>
    <n v="1"/>
    <n v="247939"/>
    <n v="0.35"/>
    <s v="Brazil"/>
    <s v="Rio de Janerio"/>
    <s v=""/>
  </r>
  <r>
    <s v="E01271"/>
    <s v="Luke Munoz"/>
    <x v="2"/>
    <s v="Engineering"/>
    <s v="Speciality Products"/>
    <x v="1"/>
    <s v="Latino"/>
    <n v="64"/>
    <x v="2"/>
    <x v="247"/>
    <n v="2017"/>
    <n v="8"/>
    <n v="169509"/>
    <n v="0.18"/>
    <s v="Brazil"/>
    <s v="Manaus"/>
    <s v=""/>
  </r>
  <r>
    <s v="E01921"/>
    <s v="Sarah Daniels"/>
    <x v="0"/>
    <s v="Accounting"/>
    <s v="Manufacturing"/>
    <x v="0"/>
    <s v="Caucasian"/>
    <n v="55"/>
    <x v="0"/>
    <x v="248"/>
    <n v="2011"/>
    <n v="1"/>
    <n v="138521"/>
    <n v="0.1"/>
    <s v="United States"/>
    <s v="Miami"/>
    <s v=""/>
  </r>
  <r>
    <s v="E03664"/>
    <s v="Aria Castro"/>
    <x v="11"/>
    <s v="Engineering"/>
    <s v="Speciality Products"/>
    <x v="0"/>
    <s v="Latino"/>
    <n v="45"/>
    <x v="0"/>
    <x v="249"/>
    <n v="2014"/>
    <n v="3"/>
    <n v="113873"/>
    <n v="0.11"/>
    <s v="Brazil"/>
    <s v="Rio de Janerio"/>
    <s v=""/>
  </r>
  <r>
    <s v="E00813"/>
    <s v="Autumn Joseph"/>
    <x v="14"/>
    <s v="IT"/>
    <s v="Corporate"/>
    <x v="0"/>
    <s v="Black"/>
    <n v="39"/>
    <x v="0"/>
    <x v="250"/>
    <n v="2018"/>
    <n v="5"/>
    <n v="73317"/>
    <n v="0"/>
    <s v="United States"/>
    <s v="Miami"/>
    <s v=""/>
  </r>
  <r>
    <s v="E00870"/>
    <s v="Evelyn Liang"/>
    <x v="31"/>
    <s v="IT"/>
    <s v="Speciality Products"/>
    <x v="0"/>
    <s v="Asian"/>
    <n v="40"/>
    <x v="0"/>
    <x v="251"/>
    <n v="2013"/>
    <n v="6"/>
    <n v="69096"/>
    <n v="0"/>
    <s v="United States"/>
    <s v="Seattle"/>
    <s v=""/>
  </r>
  <r>
    <s v="E04167"/>
    <s v="Henry Alvarez"/>
    <x v="15"/>
    <s v="Human Resources"/>
    <s v="Manufacturing"/>
    <x v="1"/>
    <s v="Latino"/>
    <n v="48"/>
    <x v="0"/>
    <x v="252"/>
    <n v="2005"/>
    <n v="4"/>
    <n v="87158"/>
    <n v="0"/>
    <s v="Brazil"/>
    <s v="Manaus"/>
    <s v=""/>
  </r>
  <r>
    <s v="E00245"/>
    <s v="Benjamin Delgado"/>
    <x v="22"/>
    <s v="Engineering"/>
    <s v="Corporate"/>
    <x v="1"/>
    <s v="Latino"/>
    <n v="64"/>
    <x v="2"/>
    <x v="253"/>
    <n v="1992"/>
    <n v="9"/>
    <n v="70778"/>
    <n v="0"/>
    <s v="United States"/>
    <s v="Austin"/>
    <s v=""/>
  </r>
  <r>
    <s v="E00976"/>
    <s v="Zoe Rodriguez"/>
    <x v="2"/>
    <s v="Human Resources"/>
    <s v="Speciality Products"/>
    <x v="0"/>
    <s v="Latino"/>
    <n v="65"/>
    <x v="2"/>
    <x v="254"/>
    <n v="2004"/>
    <n v="5"/>
    <n v="153938"/>
    <n v="0.2"/>
    <s v="United States"/>
    <s v="Phoenix"/>
    <s v=""/>
  </r>
  <r>
    <s v="E04112"/>
    <s v="Axel Chu"/>
    <x v="28"/>
    <s v="IT"/>
    <s v="Research &amp; Development"/>
    <x v="1"/>
    <s v="Asian"/>
    <n v="43"/>
    <x v="0"/>
    <x v="255"/>
    <n v="2018"/>
    <n v="5"/>
    <n v="59888"/>
    <n v="0"/>
    <s v="China"/>
    <s v="Beijing"/>
    <s v=""/>
  </r>
  <r>
    <s v="E01807"/>
    <s v="Cameron Evans"/>
    <x v="22"/>
    <s v="Engineering"/>
    <s v="Corporate"/>
    <x v="1"/>
    <s v="Caucasian"/>
    <n v="50"/>
    <x v="0"/>
    <x v="256"/>
    <n v="2018"/>
    <n v="12"/>
    <n v="63098"/>
    <n v="0"/>
    <s v="United States"/>
    <s v="Columbus"/>
    <s v=""/>
  </r>
  <r>
    <s v="E04103"/>
    <s v="Isabella Soto"/>
    <x v="9"/>
    <s v="Finance"/>
    <s v="Corporate"/>
    <x v="0"/>
    <s v="Latino"/>
    <n v="27"/>
    <x v="1"/>
    <x v="257"/>
    <n v="2021"/>
    <n v="12"/>
    <n v="255369"/>
    <n v="0.33"/>
    <s v="Brazil"/>
    <s v="Sao Paulo"/>
    <s v=""/>
  </r>
  <r>
    <s v="E01412"/>
    <s v="Eva Jenkins"/>
    <x v="0"/>
    <s v="Human Resources"/>
    <s v="Manufacturing"/>
    <x v="0"/>
    <s v="Black"/>
    <n v="55"/>
    <x v="0"/>
    <x v="258"/>
    <n v="2004"/>
    <n v="11"/>
    <n v="142318"/>
    <n v="0.14000000000000001"/>
    <s v="United States"/>
    <s v="Chicago"/>
    <s v=""/>
  </r>
  <r>
    <s v="E04386"/>
    <s v="Cameron Powell"/>
    <x v="20"/>
    <s v="Human Resources"/>
    <s v="Manufacturing"/>
    <x v="1"/>
    <s v="Black"/>
    <n v="41"/>
    <x v="0"/>
    <x v="259"/>
    <n v="2004"/>
    <n v="8"/>
    <n v="49186"/>
    <n v="0"/>
    <s v="United States"/>
    <s v="Austin"/>
    <d v="2008-06-17T00:00:00"/>
  </r>
  <r>
    <s v="E01232"/>
    <s v="Samantha Foster"/>
    <x v="9"/>
    <s v="Human Resources"/>
    <s v="Research &amp; Development"/>
    <x v="0"/>
    <s v="Black"/>
    <n v="34"/>
    <x v="0"/>
    <x v="260"/>
    <n v="2019"/>
    <n v="7"/>
    <n v="220937"/>
    <n v="0.38"/>
    <s v="United States"/>
    <s v="Austin"/>
    <s v=""/>
  </r>
  <r>
    <s v="E04572"/>
    <s v="Jade Li"/>
    <x v="2"/>
    <s v="IT"/>
    <s v="Speciality Products"/>
    <x v="0"/>
    <s v="Asian"/>
    <n v="47"/>
    <x v="0"/>
    <x v="261"/>
    <n v="2012"/>
    <n v="10"/>
    <n v="183156"/>
    <n v="0.3"/>
    <s v="United States"/>
    <s v="Seattle"/>
    <s v=""/>
  </r>
  <r>
    <s v="E02747"/>
    <s v="Kinsley Acosta"/>
    <x v="9"/>
    <s v="IT"/>
    <s v="Speciality Products"/>
    <x v="0"/>
    <s v="Latino"/>
    <n v="32"/>
    <x v="0"/>
    <x v="262"/>
    <n v="2020"/>
    <n v="7"/>
    <n v="192749"/>
    <n v="0.31"/>
    <s v="United States"/>
    <s v="Chicago"/>
    <s v=""/>
  </r>
  <r>
    <s v="E01064"/>
    <s v="Clara Kang"/>
    <x v="0"/>
    <s v="IT"/>
    <s v="Manufacturing"/>
    <x v="0"/>
    <s v="Asian"/>
    <n v="39"/>
    <x v="0"/>
    <x v="263"/>
    <n v="2017"/>
    <n v="3"/>
    <n v="135325"/>
    <n v="0.14000000000000001"/>
    <s v="United States"/>
    <s v="Phoenix"/>
    <s v=""/>
  </r>
  <r>
    <s v="E00178"/>
    <s v="Harper Alexander"/>
    <x v="4"/>
    <s v="Sales"/>
    <s v="Speciality Products"/>
    <x v="0"/>
    <s v="Caucasian"/>
    <n v="26"/>
    <x v="1"/>
    <x v="264"/>
    <n v="2019"/>
    <n v="10"/>
    <n v="79356"/>
    <n v="0"/>
    <s v="United States"/>
    <s v="Phoenix"/>
    <s v=""/>
  </r>
  <r>
    <s v="E01091"/>
    <s v="Carter Reed"/>
    <x v="25"/>
    <s v="Engineering"/>
    <s v="Manufacturing"/>
    <x v="1"/>
    <s v="Black"/>
    <n v="40"/>
    <x v="0"/>
    <x v="265"/>
    <n v="2005"/>
    <n v="7"/>
    <n v="74412"/>
    <n v="0"/>
    <s v="United States"/>
    <s v="Seattle"/>
    <s v=""/>
  </r>
  <r>
    <s v="E01525"/>
    <s v="Charlotte Ruiz"/>
    <x v="3"/>
    <s v="IT"/>
    <s v="Manufacturing"/>
    <x v="0"/>
    <s v="Latino"/>
    <n v="32"/>
    <x v="0"/>
    <x v="266"/>
    <n v="2017"/>
    <n v="10"/>
    <n v="61886"/>
    <n v="0.09"/>
    <s v="Brazil"/>
    <s v="Rio de Janerio"/>
    <s v=""/>
  </r>
  <r>
    <s v="E01309"/>
    <s v="Everleigh Jiang"/>
    <x v="2"/>
    <s v="Accounting"/>
    <s v="Research &amp; Development"/>
    <x v="0"/>
    <s v="Asian"/>
    <n v="58"/>
    <x v="0"/>
    <x v="267"/>
    <n v="2003"/>
    <n v="5"/>
    <n v="173071"/>
    <n v="0.28999999999999998"/>
    <s v="United States"/>
    <s v="Columbus"/>
    <s v=""/>
  </r>
  <r>
    <s v="E02378"/>
    <s v="Audrey Smith"/>
    <x v="17"/>
    <s v="Engineering"/>
    <s v="Research &amp; Development"/>
    <x v="0"/>
    <s v="Caucasian"/>
    <n v="58"/>
    <x v="0"/>
    <x v="268"/>
    <n v="1995"/>
    <n v="10"/>
    <n v="70189"/>
    <n v="0"/>
    <s v="United States"/>
    <s v="Columbus"/>
    <s v=""/>
  </r>
  <r>
    <s v="E04127"/>
    <s v="Emery Acosta"/>
    <x v="9"/>
    <s v="Sales"/>
    <s v="Research &amp; Development"/>
    <x v="0"/>
    <s v="Latino"/>
    <n v="42"/>
    <x v="0"/>
    <x v="269"/>
    <n v="2013"/>
    <n v="9"/>
    <n v="181452"/>
    <n v="0.3"/>
    <s v="United States"/>
    <s v="Columbus"/>
    <s v=""/>
  </r>
  <r>
    <s v="E02072"/>
    <s v="Charles Robinson"/>
    <x v="16"/>
    <s v="Human Resources"/>
    <s v="Speciality Products"/>
    <x v="1"/>
    <s v="Caucasian"/>
    <n v="26"/>
    <x v="1"/>
    <x v="270"/>
    <n v="2021"/>
    <n v="3"/>
    <n v="70369"/>
    <n v="0"/>
    <s v="United States"/>
    <s v="Seattle"/>
    <s v=""/>
  </r>
  <r>
    <s v="E02555"/>
    <s v="Landon Lopez"/>
    <x v="4"/>
    <s v="Accounting"/>
    <s v="Manufacturing"/>
    <x v="1"/>
    <s v="Latino"/>
    <n v="38"/>
    <x v="0"/>
    <x v="271"/>
    <n v="2008"/>
    <n v="7"/>
    <n v="78056"/>
    <n v="0"/>
    <s v="Brazil"/>
    <s v="Sao Paulo"/>
    <s v=""/>
  </r>
  <r>
    <s v="E00187"/>
    <s v="Miles Mehta"/>
    <x v="2"/>
    <s v="Finance"/>
    <s v="Research &amp; Development"/>
    <x v="1"/>
    <s v="Asian"/>
    <n v="64"/>
    <x v="2"/>
    <x v="272"/>
    <n v="1996"/>
    <n v="5"/>
    <n v="189933"/>
    <n v="0.23"/>
    <s v="United States"/>
    <s v="Miami"/>
    <s v=""/>
  </r>
  <r>
    <s v="E04332"/>
    <s v="Ezra Simmons"/>
    <x v="18"/>
    <s v="Engineering"/>
    <s v="Speciality Products"/>
    <x v="1"/>
    <s v="Caucasian"/>
    <n v="38"/>
    <x v="0"/>
    <x v="273"/>
    <n v="2010"/>
    <n v="7"/>
    <n v="78237"/>
    <n v="0"/>
    <s v="United States"/>
    <s v="Phoenix"/>
    <s v=""/>
  </r>
  <r>
    <s v="E02062"/>
    <s v="Nora Santiago"/>
    <x v="7"/>
    <s v="Accounting"/>
    <s v="Research &amp; Development"/>
    <x v="0"/>
    <s v="Latino"/>
    <n v="55"/>
    <x v="0"/>
    <x v="274"/>
    <n v="1996"/>
    <n v="6"/>
    <n v="48687"/>
    <n v="0"/>
    <s v="Brazil"/>
    <s v="Rio de Janerio"/>
    <s v=""/>
  </r>
  <r>
    <s v="E00034"/>
    <s v="Caroline Herrera"/>
    <x v="0"/>
    <s v="Marketing"/>
    <s v="Manufacturing"/>
    <x v="0"/>
    <s v="Latino"/>
    <n v="45"/>
    <x v="0"/>
    <x v="275"/>
    <n v="2004"/>
    <n v="8"/>
    <n v="121065"/>
    <n v="0.15"/>
    <s v="Brazil"/>
    <s v="Rio de Janerio"/>
    <s v=""/>
  </r>
  <r>
    <s v="E00273"/>
    <s v="David Owens"/>
    <x v="4"/>
    <s v="Sales"/>
    <s v="Corporate"/>
    <x v="1"/>
    <s v="Black"/>
    <n v="43"/>
    <x v="0"/>
    <x v="276"/>
    <n v="2004"/>
    <n v="4"/>
    <n v="94246"/>
    <n v="0"/>
    <s v="United States"/>
    <s v="Austin"/>
    <s v=""/>
  </r>
  <r>
    <s v="E00691"/>
    <s v="Avery Yee"/>
    <x v="28"/>
    <s v="IT"/>
    <s v="Manufacturing"/>
    <x v="0"/>
    <s v="Asian"/>
    <n v="34"/>
    <x v="0"/>
    <x v="82"/>
    <n v="2016"/>
    <n v="5"/>
    <n v="44614"/>
    <n v="0"/>
    <s v="United States"/>
    <s v="Miami"/>
    <s v=""/>
  </r>
  <r>
    <s v="E01403"/>
    <s v="Xavier Park"/>
    <x v="9"/>
    <s v="IT"/>
    <s v="Research &amp; Development"/>
    <x v="1"/>
    <s v="Asian"/>
    <n v="40"/>
    <x v="0"/>
    <x v="277"/>
    <n v="2020"/>
    <n v="11"/>
    <n v="234469"/>
    <n v="0.31"/>
    <s v="China"/>
    <s v="Chengdu"/>
    <s v=""/>
  </r>
  <r>
    <s v="E03438"/>
    <s v="Asher Morales"/>
    <x v="18"/>
    <s v="Engineering"/>
    <s v="Research &amp; Development"/>
    <x v="1"/>
    <s v="Latino"/>
    <n v="52"/>
    <x v="0"/>
    <x v="278"/>
    <n v="2020"/>
    <n v="7"/>
    <n v="88272"/>
    <n v="0"/>
    <s v="Brazil"/>
    <s v="Sao Paulo"/>
    <s v=""/>
  </r>
  <r>
    <s v="E04136"/>
    <s v="Mason Cao"/>
    <x v="13"/>
    <s v="Finance"/>
    <s v="Corporate"/>
    <x v="1"/>
    <s v="Asian"/>
    <n v="52"/>
    <x v="0"/>
    <x v="279"/>
    <n v="2017"/>
    <n v="9"/>
    <n v="74449"/>
    <n v="0"/>
    <s v="China"/>
    <s v="Beijing"/>
    <s v=""/>
  </r>
  <r>
    <s v="E02944"/>
    <s v="Joshua Fong"/>
    <x v="9"/>
    <s v="Engineering"/>
    <s v="Speciality Products"/>
    <x v="1"/>
    <s v="Asian"/>
    <n v="47"/>
    <x v="0"/>
    <x v="280"/>
    <n v="2012"/>
    <n v="6"/>
    <n v="222941"/>
    <n v="0.39"/>
    <s v="China"/>
    <s v="Beijing"/>
    <s v=""/>
  </r>
  <r>
    <s v="E03300"/>
    <s v="Maria Chin"/>
    <x v="7"/>
    <s v="Marketing"/>
    <s v="Manufacturing"/>
    <x v="0"/>
    <s v="Asian"/>
    <n v="65"/>
    <x v="2"/>
    <x v="281"/>
    <n v="2013"/>
    <n v="9"/>
    <n v="50341"/>
    <n v="0"/>
    <s v="China"/>
    <s v="Beijing"/>
    <s v=""/>
  </r>
  <r>
    <s v="E00078"/>
    <s v="Eva Garcia"/>
    <x v="16"/>
    <s v="Human Resources"/>
    <s v="Corporate"/>
    <x v="0"/>
    <s v="Latino"/>
    <n v="31"/>
    <x v="0"/>
    <x v="282"/>
    <n v="2021"/>
    <n v="4"/>
    <n v="72235"/>
    <n v="0"/>
    <s v="Brazil"/>
    <s v="Manaus"/>
    <s v=""/>
  </r>
  <r>
    <s v="E00825"/>
    <s v="Anna Molina"/>
    <x v="4"/>
    <s v="Accounting"/>
    <s v="Corporate"/>
    <x v="0"/>
    <s v="Latino"/>
    <n v="41"/>
    <x v="0"/>
    <x v="283"/>
    <n v="2016"/>
    <n v="6"/>
    <n v="70165"/>
    <n v="0"/>
    <s v="United States"/>
    <s v="Columbus"/>
    <s v=""/>
  </r>
  <r>
    <s v="E04972"/>
    <s v="Logan Bryant"/>
    <x v="0"/>
    <s v="Marketing"/>
    <s v="Speciality Products"/>
    <x v="1"/>
    <s v="Caucasian"/>
    <n v="30"/>
    <x v="0"/>
    <x v="284"/>
    <n v="2020"/>
    <n v="7"/>
    <n v="148485"/>
    <n v="0.15"/>
    <s v="United States"/>
    <s v="Miami"/>
    <s v=""/>
  </r>
  <r>
    <s v="E03941"/>
    <s v="Isla Han"/>
    <x v="1"/>
    <s v="IT"/>
    <s v="Manufacturing"/>
    <x v="0"/>
    <s v="Asian"/>
    <n v="58"/>
    <x v="0"/>
    <x v="285"/>
    <n v="2005"/>
    <n v="6"/>
    <n v="86089"/>
    <n v="0"/>
    <s v="United States"/>
    <s v="Chicago"/>
    <s v=""/>
  </r>
  <r>
    <s v="E02148"/>
    <s v="Christopher Vega"/>
    <x v="11"/>
    <s v="Engineering"/>
    <s v="Research &amp; Development"/>
    <x v="1"/>
    <s v="Latino"/>
    <n v="54"/>
    <x v="0"/>
    <x v="286"/>
    <n v="2007"/>
    <n v="10"/>
    <n v="106313"/>
    <n v="0.15"/>
    <s v="United States"/>
    <s v="Chicago"/>
    <s v=""/>
  </r>
  <r>
    <s v="E02252"/>
    <s v="Lillian Park"/>
    <x v="7"/>
    <s v="Marketing"/>
    <s v="Research &amp; Development"/>
    <x v="0"/>
    <s v="Asian"/>
    <n v="40"/>
    <x v="0"/>
    <x v="287"/>
    <n v="2021"/>
    <n v="2"/>
    <n v="46833"/>
    <n v="0"/>
    <s v="China"/>
    <s v="Chengdu"/>
    <d v="2021-11-10T00:00:00"/>
  </r>
  <r>
    <s v="E03096"/>
    <s v="Kennedy Zhang"/>
    <x v="2"/>
    <s v="Finance"/>
    <s v="Research &amp; Development"/>
    <x v="0"/>
    <s v="Asian"/>
    <n v="63"/>
    <x v="2"/>
    <x v="288"/>
    <n v="2000"/>
    <n v="10"/>
    <n v="155320"/>
    <n v="0.17"/>
    <s v="China"/>
    <s v="Chongqing"/>
    <s v=""/>
  </r>
  <r>
    <s v="E04800"/>
    <s v="Eli Han"/>
    <x v="4"/>
    <s v="Accounting"/>
    <s v="Manufacturing"/>
    <x v="1"/>
    <s v="Asian"/>
    <n v="40"/>
    <x v="0"/>
    <x v="289"/>
    <n v="2016"/>
    <n v="1"/>
    <n v="89984"/>
    <n v="0"/>
    <s v="China"/>
    <s v="Chengdu"/>
    <s v=""/>
  </r>
  <r>
    <s v="E02838"/>
    <s v="Julia Pham"/>
    <x v="11"/>
    <s v="Engineering"/>
    <s v="Speciality Products"/>
    <x v="0"/>
    <s v="Asian"/>
    <n v="65"/>
    <x v="2"/>
    <x v="290"/>
    <n v="2006"/>
    <n v="3"/>
    <n v="83756"/>
    <n v="0.14000000000000001"/>
    <s v="China"/>
    <s v="Shanghai"/>
    <s v=""/>
  </r>
  <r>
    <s v="E02980"/>
    <s v="Hailey Shin"/>
    <x v="2"/>
    <s v="Human Resources"/>
    <s v="Corporate"/>
    <x v="0"/>
    <s v="Asian"/>
    <n v="57"/>
    <x v="0"/>
    <x v="291"/>
    <n v="2016"/>
    <n v="10"/>
    <n v="176324"/>
    <n v="0.23"/>
    <s v="China"/>
    <s v="Shanghai"/>
    <s v=""/>
  </r>
  <r>
    <s v="E04477"/>
    <s v="Connor Grant"/>
    <x v="4"/>
    <s v="Accounting"/>
    <s v="Speciality Products"/>
    <x v="1"/>
    <s v="Caucasian"/>
    <n v="27"/>
    <x v="1"/>
    <x v="292"/>
    <n v="2021"/>
    <n v="10"/>
    <n v="74077"/>
    <n v="0"/>
    <s v="United States"/>
    <s v="Seattle"/>
    <s v=""/>
  </r>
  <r>
    <s v="E04348"/>
    <s v="Natalia Owens"/>
    <x v="6"/>
    <s v="Human Resources"/>
    <s v="Manufacturing"/>
    <x v="0"/>
    <s v="Caucasian"/>
    <n v="31"/>
    <x v="0"/>
    <x v="293"/>
    <n v="2021"/>
    <n v="1"/>
    <n v="104162"/>
    <n v="7.0000000000000007E-2"/>
    <s v="United States"/>
    <s v="Austin"/>
    <s v=""/>
  </r>
  <r>
    <s v="E01638"/>
    <s v="Maria He"/>
    <x v="30"/>
    <s v="IT"/>
    <s v="Corporate"/>
    <x v="0"/>
    <s v="Asian"/>
    <n v="45"/>
    <x v="0"/>
    <x v="294"/>
    <n v="2010"/>
    <n v="8"/>
    <n v="82162"/>
    <n v="0"/>
    <s v="China"/>
    <s v="Beijing"/>
    <d v="2020-10-03T00:00:00"/>
  </r>
  <r>
    <s v="E03419"/>
    <s v="Jade Yi"/>
    <x v="5"/>
    <s v="Sales"/>
    <s v="Speciality Products"/>
    <x v="0"/>
    <s v="Asian"/>
    <n v="47"/>
    <x v="0"/>
    <x v="295"/>
    <n v="2015"/>
    <n v="7"/>
    <n v="63880"/>
    <n v="0"/>
    <s v="China"/>
    <s v="Chongqing"/>
    <s v=""/>
  </r>
  <r>
    <s v="E04222"/>
    <s v="Quinn Xiong"/>
    <x v="22"/>
    <s v="Engineering"/>
    <s v="Research &amp; Development"/>
    <x v="0"/>
    <s v="Asian"/>
    <n v="55"/>
    <x v="0"/>
    <x v="296"/>
    <n v="2013"/>
    <n v="9"/>
    <n v="73248"/>
    <n v="0"/>
    <s v="United States"/>
    <s v="Columbus"/>
    <s v=""/>
  </r>
  <r>
    <s v="E04126"/>
    <s v="Dominic Baker"/>
    <x v="4"/>
    <s v="Accounting"/>
    <s v="Manufacturing"/>
    <x v="1"/>
    <s v="Black"/>
    <n v="51"/>
    <x v="0"/>
    <x v="297"/>
    <n v="2020"/>
    <n v="10"/>
    <n v="91853"/>
    <n v="0"/>
    <s v="United States"/>
    <s v="Chicago"/>
    <s v=""/>
  </r>
  <r>
    <s v="E01896"/>
    <s v="Adam Nelson"/>
    <x v="2"/>
    <s v="Finance"/>
    <s v="Speciality Products"/>
    <x v="1"/>
    <s v="Caucasian"/>
    <n v="25"/>
    <x v="1"/>
    <x v="298"/>
    <n v="2020"/>
    <n v="1"/>
    <n v="168014"/>
    <n v="0.27"/>
    <s v="United States"/>
    <s v="Chicago"/>
    <d v="2021-07-27T00:00:00"/>
  </r>
  <r>
    <s v="E03018"/>
    <s v="Autumn Reed"/>
    <x v="25"/>
    <s v="Engineering"/>
    <s v="Corporate"/>
    <x v="0"/>
    <s v="Caucasian"/>
    <n v="37"/>
    <x v="0"/>
    <x v="299"/>
    <n v="2017"/>
    <n v="9"/>
    <n v="70770"/>
    <n v="0"/>
    <s v="United States"/>
    <s v="Miami"/>
    <s v=""/>
  </r>
  <r>
    <s v="E03325"/>
    <s v="Robert Edwards"/>
    <x v="16"/>
    <s v="Human Resources"/>
    <s v="Corporate"/>
    <x v="1"/>
    <s v="Caucasian"/>
    <n v="62"/>
    <x v="2"/>
    <x v="300"/>
    <n v="2004"/>
    <n v="10"/>
    <n v="50825"/>
    <n v="0"/>
    <s v="United States"/>
    <s v="Seattle"/>
    <s v=""/>
  </r>
  <r>
    <s v="E04037"/>
    <s v="Roman Martinez"/>
    <x v="0"/>
    <s v="Finance"/>
    <s v="Research &amp; Development"/>
    <x v="1"/>
    <s v="Latino"/>
    <n v="31"/>
    <x v="0"/>
    <x v="301"/>
    <n v="2015"/>
    <n v="9"/>
    <n v="145846"/>
    <n v="0.15"/>
    <s v="Brazil"/>
    <s v="Manaus"/>
    <s v=""/>
  </r>
  <r>
    <s v="E01902"/>
    <s v="Eleanor Li"/>
    <x v="0"/>
    <s v="Human Resources"/>
    <s v="Research &amp; Development"/>
    <x v="0"/>
    <s v="Asian"/>
    <n v="64"/>
    <x v="2"/>
    <x v="302"/>
    <n v="2003"/>
    <n v="12"/>
    <n v="125807"/>
    <n v="0.15"/>
    <s v="United States"/>
    <s v="Chicago"/>
    <s v=""/>
  </r>
  <r>
    <s v="E01466"/>
    <s v="Connor Vang"/>
    <x v="7"/>
    <s v="Sales"/>
    <s v="Speciality Products"/>
    <x v="1"/>
    <s v="Asian"/>
    <n v="25"/>
    <x v="1"/>
    <x v="303"/>
    <n v="2021"/>
    <n v="7"/>
    <n v="46845"/>
    <n v="0"/>
    <s v="United States"/>
    <s v="Miami"/>
    <s v=""/>
  </r>
  <r>
    <s v="E02038"/>
    <s v="Ellie Chung"/>
    <x v="0"/>
    <s v="Marketing"/>
    <s v="Corporate"/>
    <x v="0"/>
    <s v="Asian"/>
    <n v="59"/>
    <x v="0"/>
    <x v="304"/>
    <n v="2008"/>
    <n v="8"/>
    <n v="157969"/>
    <n v="0.1"/>
    <s v="China"/>
    <s v="Chongqing"/>
    <s v=""/>
  </r>
  <r>
    <s v="E03474"/>
    <s v="Violet Hall"/>
    <x v="29"/>
    <s v="IT"/>
    <s v="Corporate"/>
    <x v="0"/>
    <s v="Caucasian"/>
    <n v="40"/>
    <x v="0"/>
    <x v="305"/>
    <n v="2010"/>
    <n v="12"/>
    <n v="97807"/>
    <n v="0"/>
    <s v="United States"/>
    <s v="Chicago"/>
    <s v=""/>
  </r>
  <r>
    <s v="E02744"/>
    <s v="Dylan Padilla"/>
    <x v="16"/>
    <s v="Human Resources"/>
    <s v="Manufacturing"/>
    <x v="1"/>
    <s v="Latino"/>
    <n v="31"/>
    <x v="0"/>
    <x v="306"/>
    <n v="2015"/>
    <n v="12"/>
    <n v="73854"/>
    <n v="0"/>
    <s v="United States"/>
    <s v="Seattle"/>
    <s v=""/>
  </r>
  <r>
    <s v="E00702"/>
    <s v="Nathan Pham"/>
    <x v="0"/>
    <s v="Accounting"/>
    <s v="Manufacturing"/>
    <x v="1"/>
    <s v="Asian"/>
    <n v="45"/>
    <x v="0"/>
    <x v="307"/>
    <n v="2006"/>
    <n v="12"/>
    <n v="149537"/>
    <n v="0.14000000000000001"/>
    <s v="United States"/>
    <s v="Seattle"/>
    <s v=""/>
  </r>
  <r>
    <s v="E03081"/>
    <s v="Ayla Brown"/>
    <x v="0"/>
    <s v="Sales"/>
    <s v="Manufacturing"/>
    <x v="0"/>
    <s v="Caucasian"/>
    <n v="49"/>
    <x v="0"/>
    <x v="308"/>
    <n v="2013"/>
    <n v="4"/>
    <n v="128303"/>
    <n v="0.15"/>
    <s v="United States"/>
    <s v="Phoenix"/>
    <s v=""/>
  </r>
  <r>
    <s v="E01281"/>
    <s v="Isaac Mitchell"/>
    <x v="23"/>
    <s v="IT"/>
    <s v="Speciality Products"/>
    <x v="1"/>
    <s v="Black"/>
    <n v="46"/>
    <x v="0"/>
    <x v="309"/>
    <n v="2005"/>
    <n v="6"/>
    <n v="67374"/>
    <n v="0"/>
    <s v="United States"/>
    <s v="Austin"/>
    <s v=""/>
  </r>
  <r>
    <s v="E04029"/>
    <s v="Jayden Jimenez"/>
    <x v="6"/>
    <s v="Human Resources"/>
    <s v="Corporate"/>
    <x v="1"/>
    <s v="Latino"/>
    <n v="46"/>
    <x v="0"/>
    <x v="310"/>
    <n v="2011"/>
    <n v="9"/>
    <n v="102167"/>
    <n v="0.06"/>
    <s v="Brazil"/>
    <s v="Rio de Janerio"/>
    <s v=""/>
  </r>
  <r>
    <s v="E01116"/>
    <s v="Jaxon Tran"/>
    <x v="0"/>
    <s v="Sales"/>
    <s v="Manufacturing"/>
    <x v="1"/>
    <s v="Asian"/>
    <n v="45"/>
    <x v="0"/>
    <x v="311"/>
    <n v="2007"/>
    <n v="9"/>
    <n v="151027"/>
    <n v="0.1"/>
    <s v="China"/>
    <s v="Shanghai"/>
    <s v=""/>
  </r>
  <r>
    <s v="E01753"/>
    <s v="Connor Fong"/>
    <x v="6"/>
    <s v="Accounting"/>
    <s v="Speciality Products"/>
    <x v="1"/>
    <s v="Asian"/>
    <n v="40"/>
    <x v="0"/>
    <x v="312"/>
    <n v="2018"/>
    <n v="2"/>
    <n v="120905"/>
    <n v="0.05"/>
    <s v="United States"/>
    <s v="Seattle"/>
    <s v=""/>
  </r>
  <r>
    <s v="E04072"/>
    <s v="Emery Mitchell"/>
    <x v="9"/>
    <s v="Finance"/>
    <s v="Manufacturing"/>
    <x v="0"/>
    <s v="Caucasian"/>
    <n v="48"/>
    <x v="0"/>
    <x v="313"/>
    <n v="2018"/>
    <n v="6"/>
    <n v="231567"/>
    <n v="0.36"/>
    <s v="United States"/>
    <s v="Seattle"/>
    <s v=""/>
  </r>
  <r>
    <s v="E00672"/>
    <s v="Landon Luu"/>
    <x v="9"/>
    <s v="IT"/>
    <s v="Research &amp; Development"/>
    <x v="1"/>
    <s v="Asian"/>
    <n v="31"/>
    <x v="0"/>
    <x v="314"/>
    <n v="2015"/>
    <n v="7"/>
    <n v="215388"/>
    <n v="0.33"/>
    <s v="United States"/>
    <s v="Miami"/>
    <s v=""/>
  </r>
  <r>
    <s v="E04419"/>
    <s v="Sophia Ahmed"/>
    <x v="0"/>
    <s v="Sales"/>
    <s v="Speciality Products"/>
    <x v="0"/>
    <s v="Asian"/>
    <n v="30"/>
    <x v="0"/>
    <x v="315"/>
    <n v="2015"/>
    <n v="6"/>
    <n v="127972"/>
    <n v="0.11"/>
    <s v="United States"/>
    <s v="Seattle"/>
    <s v=""/>
  </r>
  <r>
    <s v="E00467"/>
    <s v="Sofia Dinh"/>
    <x v="19"/>
    <s v="Engineering"/>
    <s v="Corporate"/>
    <x v="0"/>
    <s v="Asian"/>
    <n v="55"/>
    <x v="0"/>
    <x v="316"/>
    <n v="1995"/>
    <n v="8"/>
    <n v="80701"/>
    <n v="0"/>
    <s v="United States"/>
    <s v="Chicago"/>
    <d v="2005-04-14T00:00:00"/>
  </r>
  <r>
    <s v="E00365"/>
    <s v="Jonathan Patel"/>
    <x v="6"/>
    <s v="Marketing"/>
    <s v="Corporate"/>
    <x v="1"/>
    <s v="Asian"/>
    <n v="28"/>
    <x v="1"/>
    <x v="317"/>
    <n v="2020"/>
    <n v="2"/>
    <n v="115417"/>
    <n v="0.06"/>
    <s v="China"/>
    <s v="Shanghai"/>
    <s v=""/>
  </r>
  <r>
    <s v="E00306"/>
    <s v="Piper Patterson"/>
    <x v="10"/>
    <s v="Engineering"/>
    <s v="Corporate"/>
    <x v="0"/>
    <s v="Caucasian"/>
    <n v="45"/>
    <x v="0"/>
    <x v="318"/>
    <n v="2019"/>
    <n v="6"/>
    <n v="88045"/>
    <n v="0"/>
    <s v="United States"/>
    <s v="Chicago"/>
    <s v=""/>
  </r>
  <r>
    <s v="E03292"/>
    <s v="Cora Evans"/>
    <x v="3"/>
    <s v="IT"/>
    <s v="Speciality Products"/>
    <x v="0"/>
    <s v="Black"/>
    <n v="45"/>
    <x v="0"/>
    <x v="319"/>
    <n v="2018"/>
    <n v="3"/>
    <n v="86478"/>
    <n v="0.06"/>
    <s v="United States"/>
    <s v="Austin"/>
    <s v=""/>
  </r>
  <r>
    <s v="E04779"/>
    <s v="Cameron Young"/>
    <x v="9"/>
    <s v="Engineering"/>
    <s v="Manufacturing"/>
    <x v="1"/>
    <s v="Caucasian"/>
    <n v="63"/>
    <x v="2"/>
    <x v="320"/>
    <n v="2016"/>
    <n v="1"/>
    <n v="180994"/>
    <n v="0.39"/>
    <s v="United States"/>
    <s v="Seattle"/>
    <s v=""/>
  </r>
  <r>
    <s v="E00501"/>
    <s v="Melody Ho"/>
    <x v="13"/>
    <s v="Finance"/>
    <s v="Research &amp; Development"/>
    <x v="0"/>
    <s v="Asian"/>
    <n v="55"/>
    <x v="0"/>
    <x v="321"/>
    <n v="2007"/>
    <n v="12"/>
    <n v="64494"/>
    <n v="0"/>
    <s v="United States"/>
    <s v="Columbus"/>
    <s v=""/>
  </r>
  <r>
    <s v="E01132"/>
    <s v="Aiden Bryant"/>
    <x v="5"/>
    <s v="Sales"/>
    <s v="Manufacturing"/>
    <x v="1"/>
    <s v="Black"/>
    <n v="47"/>
    <x v="0"/>
    <x v="322"/>
    <n v="2002"/>
    <n v="10"/>
    <n v="70122"/>
    <n v="0"/>
    <s v="United States"/>
    <s v="Columbus"/>
    <s v=""/>
  </r>
  <r>
    <s v="E00556"/>
    <s v="Grayson Walker"/>
    <x v="2"/>
    <s v="Accounting"/>
    <s v="Manufacturing"/>
    <x v="1"/>
    <s v="Caucasian"/>
    <n v="29"/>
    <x v="1"/>
    <x v="323"/>
    <n v="2017"/>
    <n v="2"/>
    <n v="181854"/>
    <n v="0.28999999999999998"/>
    <s v="United States"/>
    <s v="Seattle"/>
    <d v="2020-04-24T00:00:00"/>
  </r>
  <r>
    <s v="E00311"/>
    <s v="Scarlett Figueroa"/>
    <x v="20"/>
    <s v="Human Resources"/>
    <s v="Speciality Products"/>
    <x v="0"/>
    <s v="Latino"/>
    <n v="34"/>
    <x v="0"/>
    <x v="324"/>
    <n v="2016"/>
    <n v="10"/>
    <n v="52811"/>
    <n v="0"/>
    <s v="United States"/>
    <s v="Miami"/>
    <s v=""/>
  </r>
  <r>
    <s v="E04567"/>
    <s v="Madeline Hoang"/>
    <x v="28"/>
    <s v="IT"/>
    <s v="Research &amp; Development"/>
    <x v="0"/>
    <s v="Asian"/>
    <n v="28"/>
    <x v="1"/>
    <x v="325"/>
    <n v="2019"/>
    <n v="10"/>
    <n v="50111"/>
    <n v="0"/>
    <s v="China"/>
    <s v="Chengdu"/>
    <s v=""/>
  </r>
  <r>
    <s v="E04378"/>
    <s v="Ezra Simmons"/>
    <x v="32"/>
    <s v="IT"/>
    <s v="Manufacturing"/>
    <x v="1"/>
    <s v="Black"/>
    <n v="31"/>
    <x v="0"/>
    <x v="326"/>
    <n v="2016"/>
    <n v="5"/>
    <n v="71192"/>
    <n v="0"/>
    <s v="United States"/>
    <s v="Austin"/>
    <s v=""/>
  </r>
  <r>
    <s v="E03251"/>
    <s v="Ruby Medina"/>
    <x v="2"/>
    <s v="Sales"/>
    <s v="Manufacturing"/>
    <x v="0"/>
    <s v="Latino"/>
    <n v="50"/>
    <x v="0"/>
    <x v="327"/>
    <n v="2018"/>
    <n v="12"/>
    <n v="155351"/>
    <n v="0.2"/>
    <s v="United States"/>
    <s v="Seattle"/>
    <s v=""/>
  </r>
  <r>
    <s v="E03167"/>
    <s v="Luke Zheng"/>
    <x v="2"/>
    <s v="Human Resources"/>
    <s v="Speciality Products"/>
    <x v="1"/>
    <s v="Asian"/>
    <n v="39"/>
    <x v="0"/>
    <x v="328"/>
    <n v="2006"/>
    <n v="11"/>
    <n v="161690"/>
    <n v="0.28999999999999998"/>
    <s v="China"/>
    <s v="Beijing"/>
    <s v=""/>
  </r>
  <r>
    <s v="E03347"/>
    <s v="Rylee Dinh"/>
    <x v="25"/>
    <s v="Engineering"/>
    <s v="Speciality Products"/>
    <x v="0"/>
    <s v="Asian"/>
    <n v="35"/>
    <x v="0"/>
    <x v="329"/>
    <n v="2017"/>
    <n v="2"/>
    <n v="60132"/>
    <n v="0"/>
    <s v="China"/>
    <s v="Chongqing"/>
    <s v=""/>
  </r>
  <r>
    <s v="E03908"/>
    <s v="Miles Evans"/>
    <x v="23"/>
    <s v="IT"/>
    <s v="Manufacturing"/>
    <x v="1"/>
    <s v="Caucasian"/>
    <n v="54"/>
    <x v="0"/>
    <x v="330"/>
    <n v="1994"/>
    <n v="10"/>
    <n v="87216"/>
    <n v="0"/>
    <s v="United States"/>
    <s v="Miami"/>
    <s v=""/>
  </r>
  <r>
    <s v="E01351"/>
    <s v="Leo Owens"/>
    <x v="28"/>
    <s v="IT"/>
    <s v="Corporate"/>
    <x v="1"/>
    <s v="Caucasian"/>
    <n v="47"/>
    <x v="0"/>
    <x v="331"/>
    <n v="2020"/>
    <n v="4"/>
    <n v="50069"/>
    <n v="0"/>
    <s v="United States"/>
    <s v="Seattle"/>
    <s v=""/>
  </r>
  <r>
    <s v="E02681"/>
    <s v="Caroline Owens"/>
    <x v="2"/>
    <s v="IT"/>
    <s v="Speciality Products"/>
    <x v="0"/>
    <s v="Caucasian"/>
    <n v="26"/>
    <x v="1"/>
    <x v="332"/>
    <n v="2021"/>
    <n v="7"/>
    <n v="151108"/>
    <n v="0.22"/>
    <s v="United States"/>
    <s v="Phoenix"/>
    <s v=""/>
  </r>
  <r>
    <s v="E03807"/>
    <s v="Kennedy Do"/>
    <x v="3"/>
    <s v="IT"/>
    <s v="Manufacturing"/>
    <x v="0"/>
    <s v="Asian"/>
    <n v="42"/>
    <x v="0"/>
    <x v="333"/>
    <n v="2005"/>
    <n v="10"/>
    <n v="67398"/>
    <n v="7.0000000000000007E-2"/>
    <s v="United States"/>
    <s v="Phoenix"/>
    <s v=""/>
  </r>
  <r>
    <s v="E00422"/>
    <s v="Jade Acosta"/>
    <x v="25"/>
    <s v="Engineering"/>
    <s v="Research &amp; Development"/>
    <x v="0"/>
    <s v="Latino"/>
    <n v="47"/>
    <x v="0"/>
    <x v="334"/>
    <n v="2015"/>
    <n v="8"/>
    <n v="68488"/>
    <n v="0"/>
    <s v="United States"/>
    <s v="Seattle"/>
    <s v=""/>
  </r>
  <r>
    <s v="E00265"/>
    <s v="Mila Vasquez"/>
    <x v="10"/>
    <s v="Engineering"/>
    <s v="Manufacturing"/>
    <x v="0"/>
    <s v="Latino"/>
    <n v="60"/>
    <x v="2"/>
    <x v="335"/>
    <n v="1998"/>
    <n v="7"/>
    <n v="92932"/>
    <n v="0"/>
    <s v="United States"/>
    <s v="Columbus"/>
    <s v=""/>
  </r>
  <r>
    <s v="E04601"/>
    <s v="Allison Ayala"/>
    <x v="7"/>
    <s v="Finance"/>
    <s v="Corporate"/>
    <x v="0"/>
    <s v="Latino"/>
    <n v="36"/>
    <x v="0"/>
    <x v="336"/>
    <n v="2009"/>
    <n v="6"/>
    <n v="43363"/>
    <n v="0"/>
    <s v="United States"/>
    <s v="Austin"/>
    <s v=""/>
  </r>
  <r>
    <s v="E04816"/>
    <s v="Jace Zhang"/>
    <x v="31"/>
    <s v="IT"/>
    <s v="Speciality Products"/>
    <x v="1"/>
    <s v="Asian"/>
    <n v="31"/>
    <x v="0"/>
    <x v="337"/>
    <n v="2017"/>
    <n v="2"/>
    <n v="95963"/>
    <n v="0"/>
    <s v="China"/>
    <s v="Chengdu"/>
    <s v=""/>
  </r>
  <r>
    <s v="E02147"/>
    <s v="Allison Medina"/>
    <x v="6"/>
    <s v="Finance"/>
    <s v="Speciality Products"/>
    <x v="0"/>
    <s v="Latino"/>
    <n v="55"/>
    <x v="0"/>
    <x v="338"/>
    <n v="2010"/>
    <n v="4"/>
    <n v="111038"/>
    <n v="0.05"/>
    <s v="Brazil"/>
    <s v="Sao Paulo"/>
    <s v=""/>
  </r>
  <r>
    <s v="E02914"/>
    <s v="Maria Wilson"/>
    <x v="9"/>
    <s v="Engineering"/>
    <s v="Research &amp; Development"/>
    <x v="0"/>
    <s v="Caucasian"/>
    <n v="51"/>
    <x v="0"/>
    <x v="339"/>
    <n v="1996"/>
    <n v="6"/>
    <n v="200246"/>
    <n v="0.34"/>
    <s v="United States"/>
    <s v="Columbus"/>
    <s v=""/>
  </r>
  <r>
    <s v="E03268"/>
    <s v="Everly Coleman"/>
    <x v="9"/>
    <s v="IT"/>
    <s v="Corporate"/>
    <x v="0"/>
    <s v="Caucasian"/>
    <n v="48"/>
    <x v="0"/>
    <x v="340"/>
    <n v="2015"/>
    <n v="2"/>
    <n v="194871"/>
    <n v="0.35"/>
    <s v="United States"/>
    <s v="Columbus"/>
    <s v=""/>
  </r>
  <r>
    <s v="E03972"/>
    <s v="Jordan Gomez"/>
    <x v="4"/>
    <s v="Accounting"/>
    <s v="Research &amp; Development"/>
    <x v="1"/>
    <s v="Latino"/>
    <n v="58"/>
    <x v="0"/>
    <x v="341"/>
    <n v="1994"/>
    <n v="9"/>
    <n v="98769"/>
    <n v="0"/>
    <s v="Brazil"/>
    <s v="Rio de Janerio"/>
    <d v="2016-10-03T00:00:00"/>
  </r>
  <r>
    <s v="E02189"/>
    <s v="Isla Chavez"/>
    <x v="5"/>
    <s v="Sales"/>
    <s v="Research &amp; Development"/>
    <x v="0"/>
    <s v="Latino"/>
    <n v="29"/>
    <x v="1"/>
    <x v="342"/>
    <n v="2018"/>
    <n v="5"/>
    <n v="65334"/>
    <n v="0"/>
    <s v="Brazil"/>
    <s v="Rio de Janerio"/>
    <s v=""/>
  </r>
  <r>
    <s v="E04290"/>
    <s v="Hannah Gomez"/>
    <x v="1"/>
    <s v="IT"/>
    <s v="Manufacturing"/>
    <x v="0"/>
    <s v="Latino"/>
    <n v="25"/>
    <x v="1"/>
    <x v="343"/>
    <n v="2021"/>
    <n v="5"/>
    <n v="83934"/>
    <n v="0"/>
    <s v="United States"/>
    <s v="Miami"/>
    <s v=""/>
  </r>
  <r>
    <s v="E03630"/>
    <s v="Jacob Davis"/>
    <x v="2"/>
    <s v="Accounting"/>
    <s v="Research &amp; Development"/>
    <x v="1"/>
    <s v="Caucasian"/>
    <n v="36"/>
    <x v="0"/>
    <x v="344"/>
    <n v="2016"/>
    <n v="9"/>
    <n v="150399"/>
    <n v="0.28000000000000003"/>
    <s v="United States"/>
    <s v="Chicago"/>
    <s v=""/>
  </r>
  <r>
    <s v="E00432"/>
    <s v="Eli Gupta"/>
    <x v="2"/>
    <s v="Human Resources"/>
    <s v="Research &amp; Development"/>
    <x v="1"/>
    <s v="Asian"/>
    <n v="37"/>
    <x v="0"/>
    <x v="345"/>
    <n v="2012"/>
    <n v="5"/>
    <n v="160280"/>
    <n v="0.19"/>
    <s v="China"/>
    <s v="Beijing"/>
    <s v=""/>
  </r>
  <r>
    <s v="E03045"/>
    <s v="Andrew Huynh"/>
    <x v="20"/>
    <s v="Human Resources"/>
    <s v="Speciality Products"/>
    <x v="1"/>
    <s v="Asian"/>
    <n v="57"/>
    <x v="0"/>
    <x v="346"/>
    <n v="1997"/>
    <n v="4"/>
    <n v="54051"/>
    <n v="0"/>
    <s v="United States"/>
    <s v="Miami"/>
    <d v="1998-10-11T00:00:00"/>
  </r>
  <r>
    <s v="E01924"/>
    <s v="Anna Gutierrez"/>
    <x v="2"/>
    <s v="Engineering"/>
    <s v="Research &amp; Development"/>
    <x v="0"/>
    <s v="Latino"/>
    <n v="59"/>
    <x v="0"/>
    <x v="347"/>
    <n v="2003"/>
    <n v="4"/>
    <n v="150699"/>
    <n v="0.28999999999999998"/>
    <s v="Brazil"/>
    <s v="Sao Paulo"/>
    <s v=""/>
  </r>
  <r>
    <s v="E04877"/>
    <s v="Samuel Vega"/>
    <x v="13"/>
    <s v="Marketing"/>
    <s v="Speciality Products"/>
    <x v="1"/>
    <s v="Latino"/>
    <n v="37"/>
    <x v="0"/>
    <x v="348"/>
    <n v="2013"/>
    <n v="3"/>
    <n v="69570"/>
    <n v="0"/>
    <s v="United States"/>
    <s v="Miami"/>
    <s v=""/>
  </r>
  <r>
    <s v="E02770"/>
    <s v="Liliana Do"/>
    <x v="31"/>
    <s v="IT"/>
    <s v="Manufacturing"/>
    <x v="0"/>
    <s v="Asian"/>
    <n v="30"/>
    <x v="0"/>
    <x v="349"/>
    <n v="2019"/>
    <n v="3"/>
    <n v="86774"/>
    <n v="0"/>
    <s v="China"/>
    <s v="Chengdu"/>
    <s v=""/>
  </r>
  <r>
    <s v="E04590"/>
    <s v="Isaac Sanders"/>
    <x v="16"/>
    <s v="Human Resources"/>
    <s v="Manufacturing"/>
    <x v="1"/>
    <s v="Caucasian"/>
    <n v="49"/>
    <x v="0"/>
    <x v="350"/>
    <n v="2001"/>
    <n v="3"/>
    <n v="57606"/>
    <n v="0"/>
    <s v="United States"/>
    <s v="Miami"/>
    <s v=""/>
  </r>
  <r>
    <s v="E01977"/>
    <s v="Raelynn Gupta"/>
    <x v="0"/>
    <s v="Finance"/>
    <s v="Corporate"/>
    <x v="0"/>
    <s v="Asian"/>
    <n v="48"/>
    <x v="0"/>
    <x v="351"/>
    <n v="2001"/>
    <n v="9"/>
    <n v="125730"/>
    <n v="0.11"/>
    <s v="China"/>
    <s v="Chongqing"/>
    <s v=""/>
  </r>
  <r>
    <s v="E01378"/>
    <s v="Genesis Xiong"/>
    <x v="27"/>
    <s v="IT"/>
    <s v="Research &amp; Development"/>
    <x v="0"/>
    <s v="Asian"/>
    <n v="51"/>
    <x v="0"/>
    <x v="352"/>
    <n v="2012"/>
    <n v="2"/>
    <n v="64170"/>
    <n v="0"/>
    <s v="United States"/>
    <s v="Columbus"/>
    <s v=""/>
  </r>
  <r>
    <s v="E04224"/>
    <s v="Lucas Ramos"/>
    <x v="15"/>
    <s v="Human Resources"/>
    <s v="Speciality Products"/>
    <x v="1"/>
    <s v="Latino"/>
    <n v="56"/>
    <x v="0"/>
    <x v="353"/>
    <n v="1998"/>
    <n v="1"/>
    <n v="72303"/>
    <n v="0"/>
    <s v="United States"/>
    <s v="Phoenix"/>
    <s v=""/>
  </r>
  <r>
    <s v="E03423"/>
    <s v="Santiago f Gonzalez"/>
    <x v="6"/>
    <s v="Sales"/>
    <s v="Research &amp; Development"/>
    <x v="1"/>
    <s v="Latino"/>
    <n v="36"/>
    <x v="0"/>
    <x v="354"/>
    <n v="2012"/>
    <n v="7"/>
    <n v="105891"/>
    <n v="7.0000000000000007E-2"/>
    <s v="United States"/>
    <s v="Seattle"/>
    <s v=""/>
  </r>
  <r>
    <s v="E01584"/>
    <s v="Henry Zhu"/>
    <x v="9"/>
    <s v="Marketing"/>
    <s v="Speciality Products"/>
    <x v="1"/>
    <s v="Asian"/>
    <n v="38"/>
    <x v="0"/>
    <x v="355"/>
    <n v="2021"/>
    <n v="8"/>
    <n v="255230"/>
    <n v="0.36"/>
    <s v="United States"/>
    <s v="Austin"/>
    <s v=""/>
  </r>
  <r>
    <s v="E00788"/>
    <s v="Emily Contreras"/>
    <x v="13"/>
    <s v="Sales"/>
    <s v="Manufacturing"/>
    <x v="0"/>
    <s v="Latino"/>
    <n v="56"/>
    <x v="0"/>
    <x v="356"/>
    <n v="1992"/>
    <n v="6"/>
    <n v="59591"/>
    <n v="0"/>
    <s v="Brazil"/>
    <s v="Sao Paulo"/>
    <s v=""/>
  </r>
  <r>
    <s v="E00207"/>
    <s v="Hailey Lai"/>
    <x v="9"/>
    <s v="Human Resources"/>
    <s v="Manufacturing"/>
    <x v="0"/>
    <s v="Asian"/>
    <n v="52"/>
    <x v="0"/>
    <x v="357"/>
    <n v="2012"/>
    <n v="7"/>
    <n v="187048"/>
    <n v="0.32"/>
    <s v="China"/>
    <s v="Chengdu"/>
    <s v=""/>
  </r>
  <r>
    <s v="E00834"/>
    <s v="Vivian Guzman"/>
    <x v="13"/>
    <s v="Finance"/>
    <s v="Speciality Products"/>
    <x v="0"/>
    <s v="Latino"/>
    <n v="53"/>
    <x v="0"/>
    <x v="358"/>
    <n v="2002"/>
    <n v="2"/>
    <n v="58605"/>
    <n v="0"/>
    <s v="United States"/>
    <s v="Phoenix"/>
    <s v=""/>
  </r>
  <r>
    <s v="E04571"/>
    <s v="Hadley Contreras"/>
    <x v="2"/>
    <s v="Engineering"/>
    <s v="Corporate"/>
    <x v="0"/>
    <s v="Latino"/>
    <n v="60"/>
    <x v="2"/>
    <x v="359"/>
    <n v="2017"/>
    <n v="1"/>
    <n v="178502"/>
    <n v="0.2"/>
    <s v="United States"/>
    <s v="Austin"/>
    <s v=""/>
  </r>
  <r>
    <s v="E02652"/>
    <s v="Nathan Sun"/>
    <x v="6"/>
    <s v="Accounting"/>
    <s v="Speciality Products"/>
    <x v="1"/>
    <s v="Asian"/>
    <n v="63"/>
    <x v="2"/>
    <x v="360"/>
    <n v="2015"/>
    <n v="7"/>
    <n v="103724"/>
    <n v="0.05"/>
    <s v="China"/>
    <s v="Shanghai"/>
    <s v=""/>
  </r>
  <r>
    <s v="E02693"/>
    <s v="Grace Campos"/>
    <x v="2"/>
    <s v="Engineering"/>
    <s v="Research &amp; Development"/>
    <x v="0"/>
    <s v="Latino"/>
    <n v="37"/>
    <x v="0"/>
    <x v="361"/>
    <n v="2008"/>
    <n v="3"/>
    <n v="156277"/>
    <n v="0.22"/>
    <s v="Brazil"/>
    <s v="Manaus"/>
    <s v=""/>
  </r>
  <r>
    <s v="E03359"/>
    <s v="Autumn Ortiz"/>
    <x v="17"/>
    <s v="Engineering"/>
    <s v="Research &amp; Development"/>
    <x v="0"/>
    <s v="Latino"/>
    <n v="30"/>
    <x v="0"/>
    <x v="362"/>
    <n v="2017"/>
    <n v="12"/>
    <n v="87744"/>
    <n v="0"/>
    <s v="Brazil"/>
    <s v="Sao Paulo"/>
    <s v=""/>
  </r>
  <r>
    <s v="E00399"/>
    <s v="Connor Walker"/>
    <x v="13"/>
    <s v="Finance"/>
    <s v="Manufacturing"/>
    <x v="1"/>
    <s v="Caucasian"/>
    <n v="30"/>
    <x v="0"/>
    <x v="363"/>
    <n v="2019"/>
    <n v="3"/>
    <n v="54714"/>
    <n v="0"/>
    <s v="United States"/>
    <s v="Columbus"/>
    <s v=""/>
  </r>
  <r>
    <s v="E02971"/>
    <s v="Mia Wu"/>
    <x v="14"/>
    <s v="IT"/>
    <s v="Corporate"/>
    <x v="0"/>
    <s v="Asian"/>
    <n v="45"/>
    <x v="0"/>
    <x v="364"/>
    <n v="2013"/>
    <n v="8"/>
    <n v="99169"/>
    <n v="0"/>
    <s v="China"/>
    <s v="Beijing"/>
    <s v=""/>
  </r>
  <r>
    <s v="E03327"/>
    <s v="Julia Luong"/>
    <x v="0"/>
    <s v="Accounting"/>
    <s v="Research &amp; Development"/>
    <x v="0"/>
    <s v="Asian"/>
    <n v="55"/>
    <x v="0"/>
    <x v="365"/>
    <n v="2006"/>
    <n v="6"/>
    <n v="142628"/>
    <n v="0.12"/>
    <s v="China"/>
    <s v="Chongqing"/>
    <s v=""/>
  </r>
  <r>
    <s v="E00900"/>
    <s v="Eleanor Delgado"/>
    <x v="4"/>
    <s v="Marketing"/>
    <s v="Manufacturing"/>
    <x v="0"/>
    <s v="Latino"/>
    <n v="33"/>
    <x v="0"/>
    <x v="366"/>
    <n v="2014"/>
    <n v="4"/>
    <n v="75869"/>
    <n v="0"/>
    <s v="Brazil"/>
    <s v="Sao Paulo"/>
    <s v=""/>
  </r>
  <r>
    <s v="E00836"/>
    <s v="Addison Roberts"/>
    <x v="23"/>
    <s v="IT"/>
    <s v="Manufacturing"/>
    <x v="0"/>
    <s v="Caucasian"/>
    <n v="65"/>
    <x v="2"/>
    <x v="367"/>
    <n v="2018"/>
    <n v="5"/>
    <n v="60985"/>
    <n v="0"/>
    <s v="United States"/>
    <s v="Seattle"/>
    <s v=""/>
  </r>
  <r>
    <s v="E03854"/>
    <s v="Camila Li"/>
    <x v="0"/>
    <s v="IT"/>
    <s v="Research &amp; Development"/>
    <x v="0"/>
    <s v="Asian"/>
    <n v="60"/>
    <x v="2"/>
    <x v="368"/>
    <n v="2010"/>
    <n v="7"/>
    <n v="126911"/>
    <n v="0.1"/>
    <s v="China"/>
    <s v="Shanghai"/>
    <s v=""/>
  </r>
  <r>
    <s v="E04729"/>
    <s v="Ezekiel Fong"/>
    <x v="9"/>
    <s v="Sales"/>
    <s v="Research &amp; Development"/>
    <x v="1"/>
    <s v="Asian"/>
    <n v="56"/>
    <x v="0"/>
    <x v="369"/>
    <n v="2004"/>
    <n v="2"/>
    <n v="216949"/>
    <n v="0.32"/>
    <s v="China"/>
    <s v="Shanghai"/>
    <s v=""/>
  </r>
  <r>
    <s v="E00360"/>
    <s v="Dylan Thao"/>
    <x v="2"/>
    <s v="Engineering"/>
    <s v="Manufacturing"/>
    <x v="1"/>
    <s v="Asian"/>
    <n v="53"/>
    <x v="0"/>
    <x v="370"/>
    <n v="2012"/>
    <n v="10"/>
    <n v="168510"/>
    <n v="0.28999999999999998"/>
    <s v="United States"/>
    <s v="Seattle"/>
    <s v=""/>
  </r>
  <r>
    <s v="E02284"/>
    <s v="Josephine Salazar"/>
    <x v="17"/>
    <s v="Engineering"/>
    <s v="Speciality Products"/>
    <x v="0"/>
    <s v="Latino"/>
    <n v="36"/>
    <x v="0"/>
    <x v="371"/>
    <n v="2016"/>
    <n v="3"/>
    <n v="85870"/>
    <n v="0"/>
    <s v="Brazil"/>
    <s v="Sao Paulo"/>
    <s v=""/>
  </r>
  <r>
    <s v="E00181"/>
    <s v="Genesis Hu"/>
    <x v="4"/>
    <s v="Marketing"/>
    <s v="Corporate"/>
    <x v="0"/>
    <s v="Asian"/>
    <n v="46"/>
    <x v="0"/>
    <x v="372"/>
    <n v="2002"/>
    <n v="1"/>
    <n v="86510"/>
    <n v="0"/>
    <s v="China"/>
    <s v="Beijing"/>
    <d v="2003-01-02T00:00:00"/>
  </r>
  <r>
    <s v="E04168"/>
    <s v="Mila Juarez"/>
    <x v="6"/>
    <s v="Sales"/>
    <s v="Speciality Products"/>
    <x v="0"/>
    <s v="Latino"/>
    <n v="38"/>
    <x v="0"/>
    <x v="373"/>
    <n v="2017"/>
    <n v="9"/>
    <n v="119647"/>
    <n v="0.09"/>
    <s v="Brazil"/>
    <s v="Sao Paulo"/>
    <s v=""/>
  </r>
  <r>
    <s v="E02861"/>
    <s v="Daniel Perry"/>
    <x v="14"/>
    <s v="IT"/>
    <s v="Research &amp; Development"/>
    <x v="1"/>
    <s v="Caucasian"/>
    <n v="62"/>
    <x v="2"/>
    <x v="374"/>
    <n v="2001"/>
    <n v="4"/>
    <n v="80921"/>
    <n v="0"/>
    <s v="United States"/>
    <s v="Columbus"/>
    <s v=""/>
  </r>
  <r>
    <s v="E01357"/>
    <s v="Paisley Hunter"/>
    <x v="11"/>
    <s v="Engineering"/>
    <s v="Research &amp; Development"/>
    <x v="0"/>
    <s v="Caucasian"/>
    <n v="61"/>
    <x v="2"/>
    <x v="375"/>
    <n v="2010"/>
    <n v="1"/>
    <n v="98110"/>
    <n v="0.13"/>
    <s v="United States"/>
    <s v="Chicago"/>
    <s v=""/>
  </r>
  <r>
    <s v="E04387"/>
    <s v="Everleigh White"/>
    <x v="23"/>
    <s v="IT"/>
    <s v="Speciality Products"/>
    <x v="0"/>
    <s v="Caucasian"/>
    <n v="59"/>
    <x v="0"/>
    <x v="376"/>
    <n v="2017"/>
    <n v="10"/>
    <n v="86831"/>
    <n v="0"/>
    <s v="United States"/>
    <s v="Phoenix"/>
    <s v=""/>
  </r>
  <r>
    <s v="E03090"/>
    <s v="Penelope Choi"/>
    <x v="1"/>
    <s v="IT"/>
    <s v="Speciality Products"/>
    <x v="0"/>
    <s v="Asian"/>
    <n v="49"/>
    <x v="0"/>
    <x v="377"/>
    <n v="2010"/>
    <n v="9"/>
    <n v="72826"/>
    <n v="0"/>
    <s v="China"/>
    <s v="Beijing"/>
    <s v=""/>
  </r>
  <r>
    <s v="E03591"/>
    <s v="Piper Sun"/>
    <x v="2"/>
    <s v="Marketing"/>
    <s v="Manufacturing"/>
    <x v="0"/>
    <s v="Asian"/>
    <n v="64"/>
    <x v="2"/>
    <x v="378"/>
    <n v="2011"/>
    <n v="2"/>
    <n v="171217"/>
    <n v="0.19"/>
    <s v="United States"/>
    <s v="Seattle"/>
    <s v=""/>
  </r>
  <r>
    <s v="E03328"/>
    <s v="Lucy Johnson"/>
    <x v="6"/>
    <s v="IT"/>
    <s v="Research &amp; Development"/>
    <x v="0"/>
    <s v="Caucasian"/>
    <n v="57"/>
    <x v="0"/>
    <x v="379"/>
    <n v="2020"/>
    <n v="4"/>
    <n v="103058"/>
    <n v="7.0000000000000007E-2"/>
    <s v="United States"/>
    <s v="Columbus"/>
    <s v=""/>
  </r>
  <r>
    <s v="E04937"/>
    <s v="Ian Ngo"/>
    <x v="6"/>
    <s v="Sales"/>
    <s v="Speciality Products"/>
    <x v="1"/>
    <s v="Asian"/>
    <n v="52"/>
    <x v="0"/>
    <x v="380"/>
    <n v="2014"/>
    <n v="8"/>
    <n v="117062"/>
    <n v="7.0000000000000007E-2"/>
    <s v="United States"/>
    <s v="Phoenix"/>
    <s v=""/>
  </r>
  <r>
    <s v="E00515"/>
    <s v="Joseph Vazquez"/>
    <x v="0"/>
    <s v="Accounting"/>
    <s v="Speciality Products"/>
    <x v="1"/>
    <s v="Latino"/>
    <n v="40"/>
    <x v="0"/>
    <x v="381"/>
    <n v="2019"/>
    <n v="1"/>
    <n v="159031"/>
    <n v="0.1"/>
    <s v="United States"/>
    <s v="Miami"/>
    <s v=""/>
  </r>
  <r>
    <s v="E01241"/>
    <s v="Hadley Guerrero"/>
    <x v="0"/>
    <s v="IT"/>
    <s v="Research &amp; Development"/>
    <x v="0"/>
    <s v="Latino"/>
    <n v="49"/>
    <x v="0"/>
    <x v="382"/>
    <n v="2004"/>
    <n v="1"/>
    <n v="125086"/>
    <n v="0.1"/>
    <s v="Brazil"/>
    <s v="Sao Paulo"/>
    <s v=""/>
  </r>
  <r>
    <s v="E03255"/>
    <s v="Jose Brown"/>
    <x v="27"/>
    <s v="IT"/>
    <s v="Speciality Products"/>
    <x v="1"/>
    <s v="Caucasian"/>
    <n v="43"/>
    <x v="0"/>
    <x v="383"/>
    <n v="2016"/>
    <n v="4"/>
    <n v="67976"/>
    <n v="0"/>
    <s v="United States"/>
    <s v="Seattle"/>
    <s v=""/>
  </r>
  <r>
    <s v="E01711"/>
    <s v="Benjamin Ford"/>
    <x v="13"/>
    <s v="Finance"/>
    <s v="Speciality Products"/>
    <x v="1"/>
    <s v="Caucasian"/>
    <n v="31"/>
    <x v="0"/>
    <x v="384"/>
    <n v="2021"/>
    <n v="4"/>
    <n v="74215"/>
    <n v="0"/>
    <s v="United States"/>
    <s v="Phoenix"/>
    <s v=""/>
  </r>
  <r>
    <s v="E00500"/>
    <s v="Henry Shah"/>
    <x v="2"/>
    <s v="Accounting"/>
    <s v="Manufacturing"/>
    <x v="1"/>
    <s v="Asian"/>
    <n v="55"/>
    <x v="0"/>
    <x v="385"/>
    <n v="2010"/>
    <n v="6"/>
    <n v="187389"/>
    <n v="0.25"/>
    <s v="China"/>
    <s v="Chengdu"/>
    <s v=""/>
  </r>
  <r>
    <s v="E04972"/>
    <s v="Ivy Daniels"/>
    <x v="0"/>
    <s v="Human Resources"/>
    <s v="Speciality Products"/>
    <x v="0"/>
    <s v="Caucasian"/>
    <n v="41"/>
    <x v="0"/>
    <x v="386"/>
    <n v="2008"/>
    <n v="10"/>
    <n v="131841"/>
    <n v="0.13"/>
    <s v="United States"/>
    <s v="Columbus"/>
    <s v=""/>
  </r>
  <r>
    <s v="E02728"/>
    <s v="Thomas Chang"/>
    <x v="4"/>
    <s v="Accounting"/>
    <s v="Research &amp; Development"/>
    <x v="1"/>
    <s v="Asian"/>
    <n v="34"/>
    <x v="0"/>
    <x v="387"/>
    <n v="2011"/>
    <n v="7"/>
    <n v="97231"/>
    <n v="0"/>
    <s v="China"/>
    <s v="Beijing"/>
    <s v=""/>
  </r>
  <r>
    <s v="E04749"/>
    <s v="Caroline Phan"/>
    <x v="0"/>
    <s v="Finance"/>
    <s v="Corporate"/>
    <x v="0"/>
    <s v="Asian"/>
    <n v="41"/>
    <x v="0"/>
    <x v="388"/>
    <n v="2004"/>
    <n v="3"/>
    <n v="155004"/>
    <n v="0.12"/>
    <s v="United States"/>
    <s v="Austin"/>
    <s v=""/>
  </r>
  <r>
    <s v="E02023"/>
    <s v="Maverick Mehta"/>
    <x v="28"/>
    <s v="IT"/>
    <s v="Manufacturing"/>
    <x v="1"/>
    <s v="Asian"/>
    <n v="40"/>
    <x v="0"/>
    <x v="389"/>
    <n v="2007"/>
    <n v="7"/>
    <n v="41859"/>
    <n v="0"/>
    <s v="United States"/>
    <s v="Seattle"/>
    <s v=""/>
  </r>
  <r>
    <s v="E03166"/>
    <s v="Austin Edwards"/>
    <x v="12"/>
    <s v="IT"/>
    <s v="Manufacturing"/>
    <x v="1"/>
    <s v="Black"/>
    <n v="42"/>
    <x v="0"/>
    <x v="390"/>
    <n v="2006"/>
    <n v="9"/>
    <n v="52733"/>
    <n v="0"/>
    <s v="United States"/>
    <s v="Chicago"/>
    <s v=""/>
  </r>
  <r>
    <s v="E02599"/>
    <s v="Daniel Huang"/>
    <x v="9"/>
    <s v="Human Resources"/>
    <s v="Corporate"/>
    <x v="1"/>
    <s v="Asian"/>
    <n v="31"/>
    <x v="0"/>
    <x v="391"/>
    <n v="2015"/>
    <n v="9"/>
    <n v="250953"/>
    <n v="0.34"/>
    <s v="United States"/>
    <s v="Columbus"/>
    <s v=""/>
  </r>
  <r>
    <s v="E01014"/>
    <s v="Lucas Phan"/>
    <x v="2"/>
    <s v="Marketing"/>
    <s v="Research &amp; Development"/>
    <x v="1"/>
    <s v="Asian"/>
    <n v="49"/>
    <x v="0"/>
    <x v="392"/>
    <n v="1999"/>
    <n v="2"/>
    <n v="191807"/>
    <n v="0.21"/>
    <s v="China"/>
    <s v="Chongqing"/>
    <s v=""/>
  </r>
  <r>
    <s v="E04529"/>
    <s v="Gabriel Yu"/>
    <x v="1"/>
    <s v="IT"/>
    <s v="Speciality Products"/>
    <x v="1"/>
    <s v="Asian"/>
    <n v="42"/>
    <x v="0"/>
    <x v="393"/>
    <n v="2014"/>
    <n v="6"/>
    <n v="64677"/>
    <n v="0"/>
    <s v="China"/>
    <s v="Chongqing"/>
    <s v=""/>
  </r>
  <r>
    <s v="E00085"/>
    <s v="Mason Watson"/>
    <x v="0"/>
    <s v="IT"/>
    <s v="Corporate"/>
    <x v="1"/>
    <s v="Caucasian"/>
    <n v="46"/>
    <x v="0"/>
    <x v="394"/>
    <n v="2004"/>
    <n v="9"/>
    <n v="130274"/>
    <n v="0.11"/>
    <s v="United States"/>
    <s v="Chicago"/>
    <s v=""/>
  </r>
  <r>
    <s v="E00632"/>
    <s v="Angel Chang"/>
    <x v="23"/>
    <s v="IT"/>
    <s v="Research &amp; Development"/>
    <x v="1"/>
    <s v="Asian"/>
    <n v="37"/>
    <x v="0"/>
    <x v="133"/>
    <n v="2017"/>
    <n v="7"/>
    <n v="96331"/>
    <n v="0"/>
    <s v="China"/>
    <s v="Shanghai"/>
    <s v=""/>
  </r>
  <r>
    <s v="E02108"/>
    <s v="Madeline Coleman"/>
    <x v="0"/>
    <s v="Finance"/>
    <s v="Research &amp; Development"/>
    <x v="0"/>
    <s v="Caucasian"/>
    <n v="51"/>
    <x v="0"/>
    <x v="395"/>
    <n v="2006"/>
    <n v="4"/>
    <n v="150758"/>
    <n v="0.13"/>
    <s v="United States"/>
    <s v="Chicago"/>
    <d v="2007-08-16T00:00:00"/>
  </r>
  <r>
    <s v="E03802"/>
    <s v="Thomas Vazquez"/>
    <x v="2"/>
    <s v="Engineering"/>
    <s v="Corporate"/>
    <x v="1"/>
    <s v="Latino"/>
    <n v="46"/>
    <x v="0"/>
    <x v="396"/>
    <n v="2014"/>
    <n v="7"/>
    <n v="173629"/>
    <n v="0.21"/>
    <s v="Brazil"/>
    <s v="Sao Paulo"/>
    <s v=""/>
  </r>
  <r>
    <s v="E03685"/>
    <s v="Silas Hunter"/>
    <x v="29"/>
    <s v="IT"/>
    <s v="Corporate"/>
    <x v="1"/>
    <s v="Black"/>
    <n v="55"/>
    <x v="0"/>
    <x v="397"/>
    <n v="1998"/>
    <n v="5"/>
    <n v="62174"/>
    <n v="0"/>
    <s v="United States"/>
    <s v="Chicago"/>
    <s v=""/>
  </r>
  <r>
    <s v="E01089"/>
    <s v="Nicholas Brooks"/>
    <x v="13"/>
    <s v="Accounting"/>
    <s v="Manufacturing"/>
    <x v="1"/>
    <s v="Caucasian"/>
    <n v="43"/>
    <x v="0"/>
    <x v="376"/>
    <n v="2017"/>
    <n v="10"/>
    <n v="56555"/>
    <n v="0"/>
    <s v="United States"/>
    <s v="Phoenix"/>
    <s v=""/>
  </r>
  <r>
    <s v="E03988"/>
    <s v="Dominic Thomas"/>
    <x v="13"/>
    <s v="Marketing"/>
    <s v="Manufacturing"/>
    <x v="1"/>
    <s v="Caucasian"/>
    <n v="48"/>
    <x v="0"/>
    <x v="398"/>
    <n v="2005"/>
    <n v="9"/>
    <n v="74655"/>
    <n v="0"/>
    <s v="United States"/>
    <s v="Austin"/>
    <s v=""/>
  </r>
  <r>
    <s v="E00401"/>
    <s v="Wesley Adams"/>
    <x v="27"/>
    <s v="IT"/>
    <s v="Corporate"/>
    <x v="1"/>
    <s v="Caucasian"/>
    <n v="48"/>
    <x v="0"/>
    <x v="399"/>
    <n v="2003"/>
    <n v="8"/>
    <n v="93017"/>
    <n v="0"/>
    <s v="United States"/>
    <s v="Seattle"/>
    <s v=""/>
  </r>
  <r>
    <s v="E03429"/>
    <s v="Ian Wu"/>
    <x v="4"/>
    <s v="Marketing"/>
    <s v="Manufacturing"/>
    <x v="1"/>
    <s v="Asian"/>
    <n v="51"/>
    <x v="0"/>
    <x v="400"/>
    <n v="2012"/>
    <n v="4"/>
    <n v="82300"/>
    <n v="0"/>
    <s v="China"/>
    <s v="Chengdu"/>
    <s v=""/>
  </r>
  <r>
    <s v="E02417"/>
    <s v="Alice Young"/>
    <x v="18"/>
    <s v="Engineering"/>
    <s v="Research &amp; Development"/>
    <x v="0"/>
    <s v="Caucasian"/>
    <n v="46"/>
    <x v="0"/>
    <x v="401"/>
    <n v="2008"/>
    <n v="1"/>
    <n v="91621"/>
    <n v="0"/>
    <s v="United States"/>
    <s v="Chicago"/>
    <s v=""/>
  </r>
  <r>
    <s v="E00359"/>
    <s v="Logan Carrillo"/>
    <x v="4"/>
    <s v="Marketing"/>
    <s v="Research &amp; Development"/>
    <x v="1"/>
    <s v="Latino"/>
    <n v="33"/>
    <x v="0"/>
    <x v="402"/>
    <n v="2014"/>
    <n v="11"/>
    <n v="91280"/>
    <n v="0"/>
    <s v="United States"/>
    <s v="Miami"/>
    <s v=""/>
  </r>
  <r>
    <s v="E02044"/>
    <s v="Caroline Alexander"/>
    <x v="20"/>
    <s v="Human Resources"/>
    <s v="Manufacturing"/>
    <x v="0"/>
    <s v="Black"/>
    <n v="42"/>
    <x v="0"/>
    <x v="403"/>
    <n v="2020"/>
    <n v="9"/>
    <n v="47071"/>
    <n v="0"/>
    <s v="United States"/>
    <s v="Columbus"/>
    <s v=""/>
  </r>
  <r>
    <s v="E01479"/>
    <s v="Serenity Bailey"/>
    <x v="30"/>
    <s v="IT"/>
    <s v="Manufacturing"/>
    <x v="0"/>
    <s v="Caucasian"/>
    <n v="55"/>
    <x v="0"/>
    <x v="404"/>
    <n v="2011"/>
    <n v="11"/>
    <n v="81218"/>
    <n v="0"/>
    <s v="United States"/>
    <s v="Chicago"/>
    <s v=""/>
  </r>
  <r>
    <s v="E04962"/>
    <s v="Elena Tan"/>
    <x v="9"/>
    <s v="Engineering"/>
    <s v="Manufacturing"/>
    <x v="0"/>
    <s v="Asian"/>
    <n v="50"/>
    <x v="0"/>
    <x v="405"/>
    <n v="2008"/>
    <n v="10"/>
    <n v="181801"/>
    <n v="0.4"/>
    <s v="China"/>
    <s v="Chongqing"/>
    <d v="2019-12-11T00:00:00"/>
  </r>
  <r>
    <s v="E02769"/>
    <s v="Eliza Adams"/>
    <x v="5"/>
    <s v="Sales"/>
    <s v="Manufacturing"/>
    <x v="0"/>
    <s v="Caucasian"/>
    <n v="26"/>
    <x v="1"/>
    <x v="406"/>
    <n v="2021"/>
    <n v="11"/>
    <n v="63137"/>
    <n v="0"/>
    <s v="United States"/>
    <s v="Chicago"/>
    <s v=""/>
  </r>
  <r>
    <s v="E03893"/>
    <s v="Alice Xiong"/>
    <x v="9"/>
    <s v="Engineering"/>
    <s v="Manufacturing"/>
    <x v="0"/>
    <s v="Asian"/>
    <n v="55"/>
    <x v="0"/>
    <x v="407"/>
    <n v="2018"/>
    <n v="9"/>
    <n v="221465"/>
    <n v="0.34"/>
    <s v="China"/>
    <s v="Chengdu"/>
    <s v=""/>
  </r>
  <r>
    <s v="E00553"/>
    <s v="Isla Yoon"/>
    <x v="10"/>
    <s v="Engineering"/>
    <s v="Research &amp; Development"/>
    <x v="0"/>
    <s v="Asian"/>
    <n v="50"/>
    <x v="0"/>
    <x v="408"/>
    <n v="2013"/>
    <n v="5"/>
    <n v="79388"/>
    <n v="0"/>
    <s v="United States"/>
    <s v="Austin"/>
    <d v="2019-08-04T00:00:00"/>
  </r>
  <r>
    <s v="E03540"/>
    <s v="Emma Perry"/>
    <x v="29"/>
    <s v="IT"/>
    <s v="Manufacturing"/>
    <x v="0"/>
    <s v="Caucasian"/>
    <n v="28"/>
    <x v="1"/>
    <x v="131"/>
    <n v="2018"/>
    <n v="1"/>
    <n v="68176"/>
    <n v="0"/>
    <s v="United States"/>
    <s v="Seattle"/>
    <s v=""/>
  </r>
  <r>
    <s v="E02769"/>
    <s v="Riley Marquez"/>
    <x v="0"/>
    <s v="Finance"/>
    <s v="Research &amp; Development"/>
    <x v="0"/>
    <s v="Latino"/>
    <n v="39"/>
    <x v="0"/>
    <x v="409"/>
    <n v="2019"/>
    <n v="10"/>
    <n v="122829"/>
    <n v="0.11"/>
    <s v="United States"/>
    <s v="Chicago"/>
    <s v=""/>
  </r>
  <r>
    <s v="E03277"/>
    <s v="Caroline Hu"/>
    <x v="0"/>
    <s v="Marketing"/>
    <s v="Speciality Products"/>
    <x v="0"/>
    <s v="Asian"/>
    <n v="31"/>
    <x v="0"/>
    <x v="410"/>
    <n v="2019"/>
    <n v="8"/>
    <n v="126353"/>
    <n v="0.12"/>
    <s v="China"/>
    <s v="Shanghai"/>
    <s v=""/>
  </r>
  <r>
    <s v="E04194"/>
    <s v="Madison Kumar"/>
    <x v="2"/>
    <s v="Accounting"/>
    <s v="Speciality Products"/>
    <x v="0"/>
    <s v="Asian"/>
    <n v="55"/>
    <x v="0"/>
    <x v="411"/>
    <n v="2010"/>
    <n v="10"/>
    <n v="188727"/>
    <n v="0.23"/>
    <s v="China"/>
    <s v="Chengdu"/>
    <s v=""/>
  </r>
  <r>
    <s v="E01807"/>
    <s v="Matthew Lim"/>
    <x v="4"/>
    <s v="Sales"/>
    <s v="Research &amp; Development"/>
    <x v="1"/>
    <s v="Asian"/>
    <n v="52"/>
    <x v="0"/>
    <x v="412"/>
    <n v="1994"/>
    <n v="2"/>
    <n v="99624"/>
    <n v="0"/>
    <s v="United States"/>
    <s v="Seattle"/>
    <s v=""/>
  </r>
  <r>
    <s v="E01762"/>
    <s v="Maya Ngo"/>
    <x v="6"/>
    <s v="Sales"/>
    <s v="Speciality Products"/>
    <x v="0"/>
    <s v="Asian"/>
    <n v="55"/>
    <x v="0"/>
    <x v="413"/>
    <n v="2012"/>
    <n v="10"/>
    <n v="108686"/>
    <n v="0.06"/>
    <s v="United States"/>
    <s v="Columbus"/>
    <s v=""/>
  </r>
  <r>
    <s v="E02632"/>
    <s v="Alice Soto"/>
    <x v="7"/>
    <s v="Accounting"/>
    <s v="Corporate"/>
    <x v="0"/>
    <s v="Latino"/>
    <n v="56"/>
    <x v="0"/>
    <x v="414"/>
    <n v="1995"/>
    <n v="4"/>
    <n v="50857"/>
    <n v="0"/>
    <s v="Brazil"/>
    <s v="Manaus"/>
    <s v=""/>
  </r>
  <r>
    <s v="E04226"/>
    <s v="Andrew Moore"/>
    <x v="19"/>
    <s v="Engineering"/>
    <s v="Manufacturing"/>
    <x v="1"/>
    <s v="Caucasian"/>
    <n v="47"/>
    <x v="0"/>
    <x v="415"/>
    <n v="2001"/>
    <n v="1"/>
    <n v="120628"/>
    <n v="0"/>
    <s v="United States"/>
    <s v="Chicago"/>
    <s v=""/>
  </r>
  <r>
    <s v="E04101"/>
    <s v="Olivia Harris"/>
    <x v="2"/>
    <s v="Sales"/>
    <s v="Speciality Products"/>
    <x v="0"/>
    <s v="Caucasian"/>
    <n v="63"/>
    <x v="2"/>
    <x v="416"/>
    <n v="2020"/>
    <n v="6"/>
    <n v="181216"/>
    <n v="0.27"/>
    <s v="United States"/>
    <s v="Columbus"/>
    <s v=""/>
  </r>
  <r>
    <s v="E01981"/>
    <s v="Genesis Banks"/>
    <x v="7"/>
    <s v="Finance"/>
    <s v="Corporate"/>
    <x v="0"/>
    <s v="Caucasian"/>
    <n v="63"/>
    <x v="2"/>
    <x v="417"/>
    <n v="2012"/>
    <n v="3"/>
    <n v="46081"/>
    <n v="0"/>
    <s v="United States"/>
    <s v="Chicago"/>
    <s v=""/>
  </r>
  <r>
    <s v="E02534"/>
    <s v="Victoria Johnson"/>
    <x v="0"/>
    <s v="Accounting"/>
    <s v="Corporate"/>
    <x v="0"/>
    <s v="Caucasian"/>
    <n v="55"/>
    <x v="0"/>
    <x v="418"/>
    <n v="2004"/>
    <n v="5"/>
    <n v="159885"/>
    <n v="0.12"/>
    <s v="United States"/>
    <s v="Columbus"/>
    <s v=""/>
  </r>
  <r>
    <s v="E01238"/>
    <s v="Eloise Griffin"/>
    <x v="2"/>
    <s v="Sales"/>
    <s v="Manufacturing"/>
    <x v="0"/>
    <s v="Caucasian"/>
    <n v="55"/>
    <x v="0"/>
    <x v="419"/>
    <n v="1995"/>
    <n v="10"/>
    <n v="153271"/>
    <n v="0.15"/>
    <s v="United States"/>
    <s v="Austin"/>
    <s v=""/>
  </r>
  <r>
    <s v="E01118"/>
    <s v="Roman Yang"/>
    <x v="6"/>
    <s v="Human Resources"/>
    <s v="Manufacturing"/>
    <x v="1"/>
    <s v="Asian"/>
    <n v="42"/>
    <x v="0"/>
    <x v="420"/>
    <n v="2009"/>
    <n v="12"/>
    <n v="114242"/>
    <n v="0.08"/>
    <s v="United States"/>
    <s v="Phoenix"/>
    <s v=""/>
  </r>
  <r>
    <s v="E04041"/>
    <s v="Clara Huynh"/>
    <x v="12"/>
    <s v="IT"/>
    <s v="Speciality Products"/>
    <x v="0"/>
    <s v="Asian"/>
    <n v="39"/>
    <x v="0"/>
    <x v="421"/>
    <n v="2020"/>
    <n v="11"/>
    <n v="48415"/>
    <n v="0"/>
    <s v="China"/>
    <s v="Shanghai"/>
    <s v=""/>
  </r>
  <r>
    <s v="E04308"/>
    <s v="Kai Flores"/>
    <x v="25"/>
    <s v="Engineering"/>
    <s v="Manufacturing"/>
    <x v="1"/>
    <s v="Latino"/>
    <n v="35"/>
    <x v="0"/>
    <x v="422"/>
    <n v="2017"/>
    <n v="5"/>
    <n v="65566"/>
    <n v="0"/>
    <s v="United States"/>
    <s v="Seattle"/>
    <s v=""/>
  </r>
  <r>
    <s v="E01052"/>
    <s v="Jaxson Dinh"/>
    <x v="0"/>
    <s v="Marketing"/>
    <s v="Research &amp; Development"/>
    <x v="1"/>
    <s v="Asian"/>
    <n v="45"/>
    <x v="0"/>
    <x v="423"/>
    <n v="2001"/>
    <n v="5"/>
    <n v="147752"/>
    <n v="0.12"/>
    <s v="China"/>
    <s v="Shanghai"/>
    <d v="2011-12-26T00:00:00"/>
  </r>
  <r>
    <s v="E04165"/>
    <s v="Sophie Vang"/>
    <x v="0"/>
    <s v="Marketing"/>
    <s v="Manufacturing"/>
    <x v="0"/>
    <s v="Asian"/>
    <n v="25"/>
    <x v="1"/>
    <x v="424"/>
    <n v="2021"/>
    <n v="9"/>
    <n v="136810"/>
    <n v="0.14000000000000001"/>
    <s v="China"/>
    <s v="Chongqing"/>
    <s v=""/>
  </r>
  <r>
    <s v="E02295"/>
    <s v="Axel Jordan"/>
    <x v="7"/>
    <s v="Sales"/>
    <s v="Corporate"/>
    <x v="1"/>
    <s v="Caucasian"/>
    <n v="47"/>
    <x v="0"/>
    <x v="425"/>
    <n v="2013"/>
    <n v="2"/>
    <n v="54635"/>
    <n v="0"/>
    <s v="United States"/>
    <s v="Chicago"/>
    <s v=""/>
  </r>
  <r>
    <s v="E04546"/>
    <s v="Jade Hunter"/>
    <x v="21"/>
    <s v="IT"/>
    <s v="Corporate"/>
    <x v="0"/>
    <s v="Caucasian"/>
    <n v="42"/>
    <x v="0"/>
    <x v="426"/>
    <n v="2020"/>
    <n v="2"/>
    <n v="96636"/>
    <n v="0"/>
    <s v="United States"/>
    <s v="Columbus"/>
    <s v=""/>
  </r>
  <r>
    <s v="E04217"/>
    <s v="Lydia Williams"/>
    <x v="27"/>
    <s v="IT"/>
    <s v="Manufacturing"/>
    <x v="0"/>
    <s v="Black"/>
    <n v="35"/>
    <x v="0"/>
    <x v="49"/>
    <n v="2014"/>
    <n v="10"/>
    <n v="91592"/>
    <n v="0"/>
    <s v="United States"/>
    <s v="Chicago"/>
    <s v=""/>
  </r>
  <r>
    <s v="E00650"/>
    <s v="Emery Chang"/>
    <x v="20"/>
    <s v="Human Resources"/>
    <s v="Research &amp; Development"/>
    <x v="0"/>
    <s v="Asian"/>
    <n v="45"/>
    <x v="0"/>
    <x v="427"/>
    <n v="2000"/>
    <n v="8"/>
    <n v="55563"/>
    <n v="0"/>
    <s v="China"/>
    <s v="Chengdu"/>
    <s v=""/>
  </r>
  <r>
    <s v="E00344"/>
    <s v="Savannah He"/>
    <x v="2"/>
    <s v="IT"/>
    <s v="Research &amp; Development"/>
    <x v="0"/>
    <s v="Asian"/>
    <n v="52"/>
    <x v="0"/>
    <x v="428"/>
    <n v="1996"/>
    <n v="2"/>
    <n v="159724"/>
    <n v="0.23"/>
    <s v="China"/>
    <s v="Beijing"/>
    <s v=""/>
  </r>
  <r>
    <s v="E04645"/>
    <s v="Elias Ahmed"/>
    <x v="9"/>
    <s v="Marketing"/>
    <s v="Corporate"/>
    <x v="1"/>
    <s v="Asian"/>
    <n v="57"/>
    <x v="0"/>
    <x v="186"/>
    <n v="2017"/>
    <n v="8"/>
    <n v="183190"/>
    <n v="0.36"/>
    <s v="United States"/>
    <s v="Chicago"/>
    <s v=""/>
  </r>
  <r>
    <s v="E03880"/>
    <s v="Samantha Woods"/>
    <x v="7"/>
    <s v="Accounting"/>
    <s v="Speciality Products"/>
    <x v="0"/>
    <s v="Caucasian"/>
    <n v="56"/>
    <x v="0"/>
    <x v="429"/>
    <n v="2019"/>
    <n v="12"/>
    <n v="54829"/>
    <n v="0"/>
    <s v="United States"/>
    <s v="Phoenix"/>
    <s v=""/>
  </r>
  <r>
    <s v="E02730"/>
    <s v="Axel Soto"/>
    <x v="10"/>
    <s v="Engineering"/>
    <s v="Corporate"/>
    <x v="1"/>
    <s v="Latino"/>
    <n v="46"/>
    <x v="0"/>
    <x v="430"/>
    <n v="2005"/>
    <n v="4"/>
    <n v="96639"/>
    <n v="0"/>
    <s v="Brazil"/>
    <s v="Rio de Janerio"/>
    <s v=""/>
  </r>
  <r>
    <s v="E04517"/>
    <s v="Amelia Choi"/>
    <x v="6"/>
    <s v="Marketing"/>
    <s v="Speciality Products"/>
    <x v="0"/>
    <s v="Asian"/>
    <n v="43"/>
    <x v="0"/>
    <x v="431"/>
    <n v="2006"/>
    <n v="6"/>
    <n v="117278"/>
    <n v="0.09"/>
    <s v="United States"/>
    <s v="Miami"/>
    <s v=""/>
  </r>
  <r>
    <s v="E00965"/>
    <s v="Jacob Khan"/>
    <x v="3"/>
    <s v="IT"/>
    <s v="Speciality Products"/>
    <x v="1"/>
    <s v="Asian"/>
    <n v="53"/>
    <x v="0"/>
    <x v="432"/>
    <n v="2008"/>
    <n v="2"/>
    <n v="84193"/>
    <n v="0.09"/>
    <s v="China"/>
    <s v="Shanghai"/>
    <s v=""/>
  </r>
  <r>
    <s v="E04639"/>
    <s v="Luna Taylor"/>
    <x v="32"/>
    <s v="IT"/>
    <s v="Manufacturing"/>
    <x v="0"/>
    <s v="Caucasian"/>
    <n v="47"/>
    <x v="0"/>
    <x v="433"/>
    <n v="2018"/>
    <n v="7"/>
    <n v="87806"/>
    <n v="0"/>
    <s v="United States"/>
    <s v="Seattle"/>
    <s v=""/>
  </r>
  <r>
    <s v="E00465"/>
    <s v="Dominic Parker"/>
    <x v="22"/>
    <s v="Engineering"/>
    <s v="Research &amp; Development"/>
    <x v="1"/>
    <s v="Caucasian"/>
    <n v="62"/>
    <x v="2"/>
    <x v="434"/>
    <n v="2011"/>
    <n v="10"/>
    <n v="63959"/>
    <n v="0"/>
    <s v="United States"/>
    <s v="Seattle"/>
    <s v=""/>
  </r>
  <r>
    <s v="E03058"/>
    <s v="Angel Xiong"/>
    <x v="9"/>
    <s v="IT"/>
    <s v="Research &amp; Development"/>
    <x v="1"/>
    <s v="Asian"/>
    <n v="35"/>
    <x v="0"/>
    <x v="435"/>
    <n v="2015"/>
    <n v="6"/>
    <n v="234723"/>
    <n v="0.36"/>
    <s v="China"/>
    <s v="Shanghai"/>
    <s v=""/>
  </r>
  <r>
    <s v="E02337"/>
    <s v="Emma Cao"/>
    <x v="7"/>
    <s v="Accounting"/>
    <s v="Corporate"/>
    <x v="0"/>
    <s v="Asian"/>
    <n v="27"/>
    <x v="1"/>
    <x v="436"/>
    <n v="2019"/>
    <n v="8"/>
    <n v="50809"/>
    <n v="0"/>
    <s v="China"/>
    <s v="Chongqing"/>
    <s v=""/>
  </r>
  <r>
    <s v="E04927"/>
    <s v="Ezekiel Bryant"/>
    <x v="4"/>
    <s v="Finance"/>
    <s v="Manufacturing"/>
    <x v="1"/>
    <s v="Caucasian"/>
    <n v="55"/>
    <x v="0"/>
    <x v="437"/>
    <n v="2002"/>
    <n v="7"/>
    <n v="77396"/>
    <n v="0"/>
    <s v="United States"/>
    <s v="Miami"/>
    <s v=""/>
  </r>
  <r>
    <s v="E03799"/>
    <s v="Natalie Hwang"/>
    <x v="4"/>
    <s v="Finance"/>
    <s v="Speciality Products"/>
    <x v="0"/>
    <s v="Asian"/>
    <n v="63"/>
    <x v="2"/>
    <x v="438"/>
    <n v="1999"/>
    <n v="12"/>
    <n v="89523"/>
    <n v="0"/>
    <s v="United States"/>
    <s v="Phoenix"/>
    <s v=""/>
  </r>
  <r>
    <s v="E04538"/>
    <s v="Adeline Yang"/>
    <x v="21"/>
    <s v="IT"/>
    <s v="Corporate"/>
    <x v="0"/>
    <s v="Asian"/>
    <n v="53"/>
    <x v="0"/>
    <x v="439"/>
    <n v="2011"/>
    <n v="7"/>
    <n v="86173"/>
    <n v="0"/>
    <s v="China"/>
    <s v="Chongqing"/>
    <s v=""/>
  </r>
  <r>
    <s v="E02633"/>
    <s v="Allison Roberts"/>
    <x v="9"/>
    <s v="Sales"/>
    <s v="Manufacturing"/>
    <x v="0"/>
    <s v="Black"/>
    <n v="54"/>
    <x v="0"/>
    <x v="440"/>
    <n v="2000"/>
    <n v="8"/>
    <n v="222224"/>
    <n v="0.38"/>
    <s v="United States"/>
    <s v="Columbus"/>
    <s v=""/>
  </r>
  <r>
    <s v="E02965"/>
    <s v="Andrew Do"/>
    <x v="0"/>
    <s v="Finance"/>
    <s v="Research &amp; Development"/>
    <x v="1"/>
    <s v="Asian"/>
    <n v="43"/>
    <x v="0"/>
    <x v="441"/>
    <n v="2021"/>
    <n v="4"/>
    <n v="146140"/>
    <n v="0.15"/>
    <s v="United States"/>
    <s v="Seattle"/>
    <s v=""/>
  </r>
  <r>
    <s v="E04345"/>
    <s v="Eliana Grant"/>
    <x v="11"/>
    <s v="Engineering"/>
    <s v="Speciality Products"/>
    <x v="0"/>
    <s v="Caucasian"/>
    <n v="64"/>
    <x v="2"/>
    <x v="442"/>
    <n v="1994"/>
    <n v="6"/>
    <n v="109456"/>
    <n v="0.1"/>
    <s v="United States"/>
    <s v="Chicago"/>
    <s v=""/>
  </r>
  <r>
    <s v="E02895"/>
    <s v="Mila Soto"/>
    <x v="2"/>
    <s v="Finance"/>
    <s v="Research &amp; Development"/>
    <x v="0"/>
    <s v="Latino"/>
    <n v="65"/>
    <x v="2"/>
    <x v="443"/>
    <n v="2008"/>
    <n v="10"/>
    <n v="170221"/>
    <n v="0.15"/>
    <s v="Brazil"/>
    <s v="Manaus"/>
    <s v=""/>
  </r>
  <r>
    <s v="E01132"/>
    <s v="Gabriella Johnson"/>
    <x v="3"/>
    <s v="IT"/>
    <s v="Research &amp; Development"/>
    <x v="0"/>
    <s v="Caucasian"/>
    <n v="42"/>
    <x v="0"/>
    <x v="444"/>
    <n v="2006"/>
    <n v="3"/>
    <n v="97433"/>
    <n v="0.05"/>
    <s v="United States"/>
    <s v="Seattle"/>
    <d v="2015-08-08T00:00:00"/>
  </r>
  <r>
    <s v="E00758"/>
    <s v="Jonathan Khan"/>
    <x v="5"/>
    <s v="Sales"/>
    <s v="Manufacturing"/>
    <x v="1"/>
    <s v="Asian"/>
    <n v="35"/>
    <x v="0"/>
    <x v="445"/>
    <n v="2013"/>
    <n v="8"/>
    <n v="59646"/>
    <n v="0"/>
    <s v="China"/>
    <s v="Shanghai"/>
    <s v=""/>
  </r>
  <r>
    <s v="E03750"/>
    <s v="Elias Dang"/>
    <x v="2"/>
    <s v="Engineering"/>
    <s v="Speciality Products"/>
    <x v="1"/>
    <s v="Asian"/>
    <n v="64"/>
    <x v="2"/>
    <x v="446"/>
    <n v="1995"/>
    <n v="8"/>
    <n v="158787"/>
    <n v="0.18"/>
    <s v="China"/>
    <s v="Chengdu"/>
    <s v=""/>
  </r>
  <r>
    <s v="E00144"/>
    <s v="Theodore Ngo"/>
    <x v="8"/>
    <s v="Engineering"/>
    <s v="Research &amp; Development"/>
    <x v="1"/>
    <s v="Asian"/>
    <n v="55"/>
    <x v="0"/>
    <x v="447"/>
    <n v="2018"/>
    <n v="4"/>
    <n v="83378"/>
    <n v="0"/>
    <s v="China"/>
    <s v="Beijing"/>
    <s v=""/>
  </r>
  <r>
    <s v="E02943"/>
    <s v="Bella Lopez"/>
    <x v="4"/>
    <s v="Marketing"/>
    <s v="Corporate"/>
    <x v="0"/>
    <s v="Latino"/>
    <n v="32"/>
    <x v="0"/>
    <x v="448"/>
    <n v="2013"/>
    <n v="11"/>
    <n v="88895"/>
    <n v="0"/>
    <s v="United States"/>
    <s v="Chicago"/>
    <s v=""/>
  </r>
  <r>
    <s v="E03901"/>
    <s v="Luca Truong"/>
    <x v="2"/>
    <s v="Marketing"/>
    <s v="Corporate"/>
    <x v="1"/>
    <s v="Asian"/>
    <n v="45"/>
    <x v="0"/>
    <x v="449"/>
    <n v="2004"/>
    <n v="12"/>
    <n v="168846"/>
    <n v="0.24"/>
    <s v="China"/>
    <s v="Chongqing"/>
    <s v=""/>
  </r>
  <r>
    <s v="E03461"/>
    <s v="Nathan Lau"/>
    <x v="20"/>
    <s v="Human Resources"/>
    <s v="Research &amp; Development"/>
    <x v="1"/>
    <s v="Asian"/>
    <n v="35"/>
    <x v="0"/>
    <x v="450"/>
    <n v="2011"/>
    <n v="2"/>
    <n v="43336"/>
    <n v="0"/>
    <s v="United States"/>
    <s v="Austin"/>
    <d v="2020-07-12T00:00:00"/>
  </r>
  <r>
    <s v="E03490"/>
    <s v="Henry Campos"/>
    <x v="0"/>
    <s v="Human Resources"/>
    <s v="Corporate"/>
    <x v="1"/>
    <s v="Latino"/>
    <n v="38"/>
    <x v="0"/>
    <x v="451"/>
    <n v="2009"/>
    <n v="9"/>
    <n v="127801"/>
    <n v="0.15"/>
    <s v="United States"/>
    <s v="Phoenix"/>
    <s v=""/>
  </r>
  <r>
    <s v="E04466"/>
    <s v="Connor Bell"/>
    <x v="32"/>
    <s v="IT"/>
    <s v="Corporate"/>
    <x v="1"/>
    <s v="Black"/>
    <n v="54"/>
    <x v="0"/>
    <x v="452"/>
    <n v="2000"/>
    <n v="4"/>
    <n v="76352"/>
    <n v="0"/>
    <s v="United States"/>
    <s v="Austin"/>
    <s v=""/>
  </r>
  <r>
    <s v="E03226"/>
    <s v="Angel Stewart"/>
    <x v="9"/>
    <s v="Finance"/>
    <s v="Corporate"/>
    <x v="1"/>
    <s v="Caucasian"/>
    <n v="28"/>
    <x v="1"/>
    <x v="453"/>
    <n v="2019"/>
    <n v="6"/>
    <n v="250767"/>
    <n v="0.38"/>
    <s v="United States"/>
    <s v="Seattle"/>
    <s v=""/>
  </r>
  <r>
    <s v="E04607"/>
    <s v="Landon Brown"/>
    <x v="9"/>
    <s v="Marketing"/>
    <s v="Corporate"/>
    <x v="1"/>
    <s v="Caucasian"/>
    <n v="26"/>
    <x v="1"/>
    <x v="454"/>
    <n v="2020"/>
    <n v="9"/>
    <n v="223055"/>
    <n v="0.3"/>
    <s v="United States"/>
    <s v="Columbus"/>
    <s v=""/>
  </r>
  <r>
    <s v="E02678"/>
    <s v="Nicholas Rivera"/>
    <x v="2"/>
    <s v="Engineering"/>
    <s v="Corporate"/>
    <x v="1"/>
    <s v="Latino"/>
    <n v="45"/>
    <x v="0"/>
    <x v="455"/>
    <n v="2007"/>
    <n v="4"/>
    <n v="189680"/>
    <n v="0.23"/>
    <s v="Brazil"/>
    <s v="Sao Paulo"/>
    <s v=""/>
  </r>
  <r>
    <s v="E02190"/>
    <s v="Gabriel Carter"/>
    <x v="22"/>
    <s v="Engineering"/>
    <s v="Manufacturing"/>
    <x v="1"/>
    <s v="Caucasian"/>
    <n v="57"/>
    <x v="0"/>
    <x v="456"/>
    <n v="2018"/>
    <n v="7"/>
    <n v="71167"/>
    <n v="0"/>
    <s v="United States"/>
    <s v="Columbus"/>
    <s v=""/>
  </r>
  <r>
    <s v="E00747"/>
    <s v="Leilani Baker"/>
    <x v="1"/>
    <s v="IT"/>
    <s v="Speciality Products"/>
    <x v="0"/>
    <s v="Caucasian"/>
    <n v="59"/>
    <x v="0"/>
    <x v="457"/>
    <n v="2010"/>
    <n v="4"/>
    <n v="76027"/>
    <n v="0"/>
    <s v="United States"/>
    <s v="Seattle"/>
    <s v=""/>
  </r>
  <r>
    <s v="E00268"/>
    <s v="Ian Flores"/>
    <x v="2"/>
    <s v="Engineering"/>
    <s v="Corporate"/>
    <x v="1"/>
    <s v="Latino"/>
    <n v="48"/>
    <x v="0"/>
    <x v="458"/>
    <n v="2019"/>
    <n v="12"/>
    <n v="183113"/>
    <n v="0.24"/>
    <s v="Brazil"/>
    <s v="Rio de Janerio"/>
    <s v=""/>
  </r>
  <r>
    <s v="E01416"/>
    <s v="Hudson Thompson"/>
    <x v="13"/>
    <s v="Accounting"/>
    <s v="Manufacturing"/>
    <x v="1"/>
    <s v="Black"/>
    <n v="30"/>
    <x v="0"/>
    <x v="459"/>
    <n v="2020"/>
    <n v="10"/>
    <n v="67753"/>
    <n v="0"/>
    <s v="United States"/>
    <s v="Phoenix"/>
    <s v=""/>
  </r>
  <r>
    <s v="E01524"/>
    <s v="Ian Miller"/>
    <x v="3"/>
    <s v="IT"/>
    <s v="Corporate"/>
    <x v="1"/>
    <s v="Black"/>
    <n v="31"/>
    <x v="0"/>
    <x v="460"/>
    <n v="2016"/>
    <n v="10"/>
    <n v="63744"/>
    <n v="0.08"/>
    <s v="United States"/>
    <s v="Austin"/>
    <s v=""/>
  </r>
  <r>
    <s v="E03849"/>
    <s v="Harper Chin"/>
    <x v="10"/>
    <s v="Engineering"/>
    <s v="Manufacturing"/>
    <x v="0"/>
    <s v="Asian"/>
    <n v="50"/>
    <x v="0"/>
    <x v="19"/>
    <n v="2002"/>
    <n v="7"/>
    <n v="92209"/>
    <n v="0"/>
    <s v="China"/>
    <s v="Shanghai"/>
    <s v=""/>
  </r>
  <r>
    <s v="E02801"/>
    <s v="Santiago f Brooks"/>
    <x v="0"/>
    <s v="Sales"/>
    <s v="Corporate"/>
    <x v="1"/>
    <s v="Black"/>
    <n v="51"/>
    <x v="0"/>
    <x v="461"/>
    <n v="2000"/>
    <n v="9"/>
    <n v="157487"/>
    <n v="0.12"/>
    <s v="United States"/>
    <s v="Phoenix"/>
    <s v=""/>
  </r>
  <r>
    <s v="E04155"/>
    <s v="Dylan Dominguez"/>
    <x v="4"/>
    <s v="Marketing"/>
    <s v="Research &amp; Development"/>
    <x v="1"/>
    <s v="Latino"/>
    <n v="42"/>
    <x v="0"/>
    <x v="462"/>
    <n v="2015"/>
    <n v="4"/>
    <n v="99697"/>
    <n v="0"/>
    <s v="Brazil"/>
    <s v="Rio de Janerio"/>
    <s v=""/>
  </r>
  <r>
    <s v="E01952"/>
    <s v="Everett Lee"/>
    <x v="32"/>
    <s v="IT"/>
    <s v="Research &amp; Development"/>
    <x v="1"/>
    <s v="Asian"/>
    <n v="45"/>
    <x v="0"/>
    <x v="463"/>
    <n v="2010"/>
    <n v="2"/>
    <n v="90770"/>
    <n v="0"/>
    <s v="United States"/>
    <s v="Columbus"/>
    <s v=""/>
  </r>
  <r>
    <s v="E00116"/>
    <s v="Madelyn Mehta"/>
    <x v="7"/>
    <s v="Sales"/>
    <s v="Speciality Products"/>
    <x v="0"/>
    <s v="Asian"/>
    <n v="64"/>
    <x v="2"/>
    <x v="464"/>
    <n v="2005"/>
    <n v="1"/>
    <n v="55369"/>
    <n v="0"/>
    <s v="United States"/>
    <s v="Phoenix"/>
    <s v=""/>
  </r>
  <r>
    <s v="E04811"/>
    <s v="Athena Vasquez"/>
    <x v="17"/>
    <s v="Engineering"/>
    <s v="Speciality Products"/>
    <x v="0"/>
    <s v="Latino"/>
    <n v="59"/>
    <x v="0"/>
    <x v="465"/>
    <n v="2014"/>
    <n v="9"/>
    <n v="69578"/>
    <n v="0"/>
    <s v="Brazil"/>
    <s v="Rio de Janerio"/>
    <s v=""/>
  </r>
  <r>
    <s v="E00624"/>
    <s v="William Watson"/>
    <x v="2"/>
    <s v="Accounting"/>
    <s v="Speciality Products"/>
    <x v="1"/>
    <s v="Caucasian"/>
    <n v="41"/>
    <x v="0"/>
    <x v="466"/>
    <n v="2013"/>
    <n v="6"/>
    <n v="167526"/>
    <n v="0.26"/>
    <s v="United States"/>
    <s v="Miami"/>
    <s v=""/>
  </r>
  <r>
    <s v="E03404"/>
    <s v="Everleigh Nunez"/>
    <x v="17"/>
    <s v="Engineering"/>
    <s v="Speciality Products"/>
    <x v="0"/>
    <s v="Latino"/>
    <n v="42"/>
    <x v="0"/>
    <x v="467"/>
    <n v="2021"/>
    <n v="2"/>
    <n v="65507"/>
    <n v="0"/>
    <s v="Brazil"/>
    <s v="Manaus"/>
    <s v=""/>
  </r>
  <r>
    <s v="E01845"/>
    <s v="Leo Fernandez"/>
    <x v="6"/>
    <s v="Finance"/>
    <s v="Research &amp; Development"/>
    <x v="1"/>
    <s v="Latino"/>
    <n v="54"/>
    <x v="0"/>
    <x v="468"/>
    <n v="1998"/>
    <n v="4"/>
    <n v="108268"/>
    <n v="0.09"/>
    <s v="Brazil"/>
    <s v="Sao Paulo"/>
    <d v="2004-05-15T00:00:00"/>
  </r>
  <r>
    <s v="E04784"/>
    <s v="Joshua Lin"/>
    <x v="1"/>
    <s v="IT"/>
    <s v="Research &amp; Development"/>
    <x v="1"/>
    <s v="Asian"/>
    <n v="37"/>
    <x v="0"/>
    <x v="469"/>
    <n v="2016"/>
    <n v="2"/>
    <n v="80055"/>
    <n v="0"/>
    <s v="China"/>
    <s v="Beijing"/>
    <s v=""/>
  </r>
  <r>
    <s v="E00145"/>
    <s v="Alexander Rivera"/>
    <x v="4"/>
    <s v="Sales"/>
    <s v="Research &amp; Development"/>
    <x v="1"/>
    <s v="Latino"/>
    <n v="58"/>
    <x v="0"/>
    <x v="470"/>
    <n v="2009"/>
    <n v="4"/>
    <n v="76802"/>
    <n v="0"/>
    <s v="Brazil"/>
    <s v="Manaus"/>
    <s v=""/>
  </r>
  <r>
    <s v="E00218"/>
    <s v="David Desai"/>
    <x v="9"/>
    <s v="Sales"/>
    <s v="Speciality Products"/>
    <x v="1"/>
    <s v="Asian"/>
    <n v="47"/>
    <x v="0"/>
    <x v="471"/>
    <n v="2016"/>
    <n v="11"/>
    <n v="253249"/>
    <n v="0.31"/>
    <s v="United States"/>
    <s v="Austin"/>
    <s v=""/>
  </r>
  <r>
    <s v="E02185"/>
    <s v="Aubrey Yoon"/>
    <x v="15"/>
    <s v="Human Resources"/>
    <s v="Research &amp; Development"/>
    <x v="0"/>
    <s v="Asian"/>
    <n v="60"/>
    <x v="2"/>
    <x v="472"/>
    <n v="2005"/>
    <n v="11"/>
    <n v="78388"/>
    <n v="0"/>
    <s v="China"/>
    <s v="Chongqing"/>
    <s v=""/>
  </r>
  <r>
    <s v="E01070"/>
    <s v="Grayson Brown"/>
    <x v="9"/>
    <s v="IT"/>
    <s v="Corporate"/>
    <x v="1"/>
    <s v="Caucasian"/>
    <n v="38"/>
    <x v="0"/>
    <x v="473"/>
    <n v="2016"/>
    <n v="6"/>
    <n v="249870"/>
    <n v="0.34"/>
    <s v="United States"/>
    <s v="Chicago"/>
    <s v=""/>
  </r>
  <r>
    <s v="E03807"/>
    <s v="Noah Chen"/>
    <x v="0"/>
    <s v="Marketing"/>
    <s v="Manufacturing"/>
    <x v="1"/>
    <s v="Asian"/>
    <n v="63"/>
    <x v="2"/>
    <x v="474"/>
    <n v="2015"/>
    <n v="3"/>
    <n v="148321"/>
    <n v="0.15"/>
    <s v="China"/>
    <s v="Beijing"/>
    <s v=""/>
  </r>
  <r>
    <s v="E00784"/>
    <s v="Ella Nguyen"/>
    <x v="31"/>
    <s v="IT"/>
    <s v="Corporate"/>
    <x v="0"/>
    <s v="Asian"/>
    <n v="60"/>
    <x v="2"/>
    <x v="475"/>
    <n v="2004"/>
    <n v="2"/>
    <n v="90258"/>
    <n v="0"/>
    <s v="China"/>
    <s v="Chongqing"/>
    <s v=""/>
  </r>
  <r>
    <s v="E04925"/>
    <s v="Athena Jordan"/>
    <x v="27"/>
    <s v="IT"/>
    <s v="Manufacturing"/>
    <x v="0"/>
    <s v="Black"/>
    <n v="42"/>
    <x v="0"/>
    <x v="476"/>
    <n v="2011"/>
    <n v="2"/>
    <n v="72486"/>
    <n v="0"/>
    <s v="United States"/>
    <s v="Seattle"/>
    <s v=""/>
  </r>
  <r>
    <s v="E04448"/>
    <s v="Adrian Ruiz"/>
    <x v="4"/>
    <s v="Finance"/>
    <s v="Corporate"/>
    <x v="1"/>
    <s v="Latino"/>
    <n v="34"/>
    <x v="0"/>
    <x v="477"/>
    <n v="2014"/>
    <n v="9"/>
    <n v="95499"/>
    <n v="0"/>
    <s v="Brazil"/>
    <s v="Sao Paulo"/>
    <d v="2017-08-11T00:00:00"/>
  </r>
  <r>
    <s v="E04817"/>
    <s v="Zoe Sanchez"/>
    <x v="4"/>
    <s v="Accounting"/>
    <s v="Research &amp; Development"/>
    <x v="0"/>
    <s v="Latino"/>
    <n v="53"/>
    <x v="0"/>
    <x v="478"/>
    <n v="2004"/>
    <n v="12"/>
    <n v="90212"/>
    <n v="0"/>
    <s v="Brazil"/>
    <s v="Sao Paulo"/>
    <s v=""/>
  </r>
  <r>
    <s v="E00325"/>
    <s v="Jameson Chen"/>
    <x v="9"/>
    <s v="Marketing"/>
    <s v="Research &amp; Development"/>
    <x v="1"/>
    <s v="Asian"/>
    <n v="39"/>
    <x v="0"/>
    <x v="479"/>
    <n v="2019"/>
    <n v="12"/>
    <n v="254057"/>
    <n v="0.39"/>
    <s v="China"/>
    <s v="Shanghai"/>
    <s v=""/>
  </r>
  <r>
    <s v="E00403"/>
    <s v="Liliana Soto"/>
    <x v="20"/>
    <s v="Human Resources"/>
    <s v="Manufacturing"/>
    <x v="0"/>
    <s v="Latino"/>
    <n v="58"/>
    <x v="0"/>
    <x v="480"/>
    <n v="2010"/>
    <n v="10"/>
    <n v="43001"/>
    <n v="0"/>
    <s v="United States"/>
    <s v="Austin"/>
    <s v=""/>
  </r>
  <r>
    <s v="E00436"/>
    <s v="Lincoln Reyes"/>
    <x v="3"/>
    <s v="IT"/>
    <s v="Manufacturing"/>
    <x v="1"/>
    <s v="Latino"/>
    <n v="60"/>
    <x v="2"/>
    <x v="481"/>
    <n v="1998"/>
    <n v="8"/>
    <n v="85120"/>
    <n v="0.09"/>
    <s v="United States"/>
    <s v="Seattle"/>
    <s v=""/>
  </r>
  <r>
    <s v="E04358"/>
    <s v="Grayson Soto"/>
    <x v="20"/>
    <s v="Human Resources"/>
    <s v="Manufacturing"/>
    <x v="1"/>
    <s v="Latino"/>
    <n v="34"/>
    <x v="0"/>
    <x v="482"/>
    <n v="2015"/>
    <n v="8"/>
    <n v="52200"/>
    <n v="0"/>
    <s v="United States"/>
    <s v="Columbus"/>
    <s v=""/>
  </r>
  <r>
    <s v="E04662"/>
    <s v="Julia Morris"/>
    <x v="0"/>
    <s v="Human Resources"/>
    <s v="Corporate"/>
    <x v="0"/>
    <s v="Caucasian"/>
    <n v="60"/>
    <x v="2"/>
    <x v="483"/>
    <n v="2008"/>
    <n v="10"/>
    <n v="150855"/>
    <n v="0.11"/>
    <s v="United States"/>
    <s v="Phoenix"/>
    <s v=""/>
  </r>
  <r>
    <s v="E01496"/>
    <s v="Ava Ortiz"/>
    <x v="14"/>
    <s v="IT"/>
    <s v="Manufacturing"/>
    <x v="0"/>
    <s v="Latino"/>
    <n v="53"/>
    <x v="0"/>
    <x v="484"/>
    <n v="2004"/>
    <n v="7"/>
    <n v="65702"/>
    <n v="0"/>
    <s v="United States"/>
    <s v="Columbus"/>
    <s v=""/>
  </r>
  <r>
    <s v="E01870"/>
    <s v="Carson Chau"/>
    <x v="2"/>
    <s v="Finance"/>
    <s v="Corporate"/>
    <x v="1"/>
    <s v="Asian"/>
    <n v="58"/>
    <x v="0"/>
    <x v="485"/>
    <n v="2007"/>
    <n v="10"/>
    <n v="162038"/>
    <n v="0.24"/>
    <s v="China"/>
    <s v="Chongqing"/>
    <s v=""/>
  </r>
  <r>
    <s v="E03971"/>
    <s v="Lillian Chen"/>
    <x v="0"/>
    <s v="Marketing"/>
    <s v="Research &amp; Development"/>
    <x v="0"/>
    <s v="Asian"/>
    <n v="25"/>
    <x v="1"/>
    <x v="486"/>
    <n v="2020"/>
    <n v="4"/>
    <n v="157057"/>
    <n v="0.1"/>
    <s v="United States"/>
    <s v="Columbus"/>
    <s v=""/>
  </r>
  <r>
    <s v="E03616"/>
    <s v="Josiah Lewis"/>
    <x v="6"/>
    <s v="IT"/>
    <s v="Research &amp; Development"/>
    <x v="1"/>
    <s v="Caucasian"/>
    <n v="46"/>
    <x v="0"/>
    <x v="487"/>
    <n v="2021"/>
    <n v="8"/>
    <n v="127559"/>
    <n v="0.1"/>
    <s v="United States"/>
    <s v="Austin"/>
    <s v=""/>
  </r>
  <r>
    <s v="E00153"/>
    <s v="Claire Jones"/>
    <x v="17"/>
    <s v="Engineering"/>
    <s v="Corporate"/>
    <x v="0"/>
    <s v="Caucasian"/>
    <n v="39"/>
    <x v="0"/>
    <x v="488"/>
    <n v="2019"/>
    <n v="3"/>
    <n v="62644"/>
    <n v="0"/>
    <s v="United States"/>
    <s v="Seattle"/>
    <s v=""/>
  </r>
  <r>
    <s v="E02313"/>
    <s v="Jeremiah Lu"/>
    <x v="23"/>
    <s v="IT"/>
    <s v="Manufacturing"/>
    <x v="1"/>
    <s v="Asian"/>
    <n v="50"/>
    <x v="0"/>
    <x v="489"/>
    <n v="2001"/>
    <n v="3"/>
    <n v="73907"/>
    <n v="0"/>
    <s v="China"/>
    <s v="Shanghai"/>
    <s v=""/>
  </r>
  <r>
    <s v="E02960"/>
    <s v="Nova Hill"/>
    <x v="4"/>
    <s v="Accounting"/>
    <s v="Manufacturing"/>
    <x v="0"/>
    <s v="Caucasian"/>
    <n v="56"/>
    <x v="0"/>
    <x v="490"/>
    <n v="2018"/>
    <n v="3"/>
    <n v="90040"/>
    <n v="0"/>
    <s v="United States"/>
    <s v="Chicago"/>
    <s v=""/>
  </r>
  <r>
    <s v="E00096"/>
    <s v="Peyton Cruz"/>
    <x v="25"/>
    <s v="Engineering"/>
    <s v="Manufacturing"/>
    <x v="0"/>
    <s v="Latino"/>
    <n v="30"/>
    <x v="0"/>
    <x v="491"/>
    <n v="2016"/>
    <n v="5"/>
    <n v="91134"/>
    <n v="0"/>
    <s v="Brazil"/>
    <s v="Sao Paulo"/>
    <s v=""/>
  </r>
  <r>
    <s v="E02140"/>
    <s v="Naomi Zhao"/>
    <x v="9"/>
    <s v="Human Resources"/>
    <s v="Speciality Products"/>
    <x v="0"/>
    <s v="Asian"/>
    <n v="45"/>
    <x v="0"/>
    <x v="492"/>
    <n v="2021"/>
    <n v="9"/>
    <n v="201396"/>
    <n v="0.32"/>
    <s v="United States"/>
    <s v="Miami"/>
    <s v=""/>
  </r>
  <r>
    <s v="E00826"/>
    <s v="Rylee Bui"/>
    <x v="7"/>
    <s v="Accounting"/>
    <s v="Corporate"/>
    <x v="0"/>
    <s v="Asian"/>
    <n v="55"/>
    <x v="0"/>
    <x v="493"/>
    <n v="2011"/>
    <n v="12"/>
    <n v="54733"/>
    <n v="0"/>
    <s v="China"/>
    <s v="Chongqing"/>
    <s v=""/>
  </r>
  <r>
    <s v="E03881"/>
    <s v="Andrew Reed"/>
    <x v="27"/>
    <s v="IT"/>
    <s v="Corporate"/>
    <x v="1"/>
    <s v="Black"/>
    <n v="28"/>
    <x v="1"/>
    <x v="494"/>
    <n v="2019"/>
    <n v="6"/>
    <n v="65341"/>
    <n v="0"/>
    <s v="United States"/>
    <s v="Miami"/>
    <d v="2022-04-11T00:00:00"/>
  </r>
  <r>
    <s v="E02604"/>
    <s v="Brooklyn Collins"/>
    <x v="0"/>
    <s v="Finance"/>
    <s v="Corporate"/>
    <x v="0"/>
    <s v="Black"/>
    <n v="59"/>
    <x v="0"/>
    <x v="495"/>
    <n v="2018"/>
    <n v="10"/>
    <n v="139208"/>
    <n v="0.11"/>
    <s v="United States"/>
    <s v="Austin"/>
    <s v=""/>
  </r>
  <r>
    <s v="E02613"/>
    <s v="John Jung"/>
    <x v="4"/>
    <s v="Sales"/>
    <s v="Speciality Products"/>
    <x v="1"/>
    <s v="Asian"/>
    <n v="63"/>
    <x v="2"/>
    <x v="496"/>
    <n v="2018"/>
    <n v="3"/>
    <n v="73200"/>
    <n v="0"/>
    <s v="China"/>
    <s v="Shanghai"/>
    <s v=""/>
  </r>
  <r>
    <s v="E00864"/>
    <s v="Samantha Aguilar"/>
    <x v="6"/>
    <s v="Accounting"/>
    <s v="Speciality Products"/>
    <x v="0"/>
    <s v="Latino"/>
    <n v="46"/>
    <x v="0"/>
    <x v="497"/>
    <n v="2010"/>
    <n v="4"/>
    <n v="102636"/>
    <n v="0.06"/>
    <s v="United States"/>
    <s v="Seattle"/>
    <s v=""/>
  </r>
  <r>
    <s v="E01760"/>
    <s v="Madeline Acosta"/>
    <x v="26"/>
    <s v="Sales"/>
    <s v="Speciality Products"/>
    <x v="0"/>
    <s v="Latino"/>
    <n v="26"/>
    <x v="1"/>
    <x v="498"/>
    <n v="2021"/>
    <n v="2"/>
    <n v="87427"/>
    <n v="0"/>
    <s v="Brazil"/>
    <s v="Sao Paulo"/>
    <s v=""/>
  </r>
  <r>
    <s v="E03223"/>
    <s v="Ethan Joseph"/>
    <x v="12"/>
    <s v="IT"/>
    <s v="Research &amp; Development"/>
    <x v="1"/>
    <s v="Caucasian"/>
    <n v="45"/>
    <x v="0"/>
    <x v="499"/>
    <n v="2018"/>
    <n v="5"/>
    <n v="49219"/>
    <n v="0"/>
    <s v="United States"/>
    <s v="Columbus"/>
    <s v=""/>
  </r>
  <r>
    <s v="E01262"/>
    <s v="Miles Mehta"/>
    <x v="6"/>
    <s v="Finance"/>
    <s v="Manufacturing"/>
    <x v="1"/>
    <s v="Asian"/>
    <n v="50"/>
    <x v="0"/>
    <x v="342"/>
    <n v="2018"/>
    <n v="5"/>
    <n v="106437"/>
    <n v="7.0000000000000007E-2"/>
    <s v="China"/>
    <s v="Chongqing"/>
    <s v=""/>
  </r>
  <r>
    <s v="E01075"/>
    <s v="Joshua Juarez"/>
    <x v="13"/>
    <s v="Finance"/>
    <s v="Manufacturing"/>
    <x v="1"/>
    <s v="Latino"/>
    <n v="46"/>
    <x v="0"/>
    <x v="500"/>
    <n v="2015"/>
    <n v="5"/>
    <n v="64364"/>
    <n v="0"/>
    <s v="Brazil"/>
    <s v="Sao Paulo"/>
    <s v=""/>
  </r>
  <r>
    <s v="E00364"/>
    <s v="Matthew Howard"/>
    <x v="2"/>
    <s v="Human Resources"/>
    <s v="Manufacturing"/>
    <x v="1"/>
    <s v="Caucasian"/>
    <n v="50"/>
    <x v="0"/>
    <x v="501"/>
    <n v="2021"/>
    <n v="10"/>
    <n v="172180"/>
    <n v="0.3"/>
    <s v="United States"/>
    <s v="Columbus"/>
    <s v=""/>
  </r>
  <r>
    <s v="E04108"/>
    <s v="Jade Figueroa"/>
    <x v="4"/>
    <s v="Sales"/>
    <s v="Manufacturing"/>
    <x v="0"/>
    <s v="Latino"/>
    <n v="33"/>
    <x v="0"/>
    <x v="502"/>
    <n v="2012"/>
    <n v="5"/>
    <n v="88343"/>
    <n v="0"/>
    <s v="Brazil"/>
    <s v="Rio de Janerio"/>
    <s v=""/>
  </r>
  <r>
    <s v="E02917"/>
    <s v="Everett Morales"/>
    <x v="29"/>
    <s v="IT"/>
    <s v="Speciality Products"/>
    <x v="1"/>
    <s v="Latino"/>
    <n v="57"/>
    <x v="0"/>
    <x v="503"/>
    <n v="2014"/>
    <n v="7"/>
    <n v="66649"/>
    <n v="0"/>
    <s v="Brazil"/>
    <s v="Rio de Janerio"/>
    <s v=""/>
  </r>
  <r>
    <s v="E03720"/>
    <s v="Genesis Hunter"/>
    <x v="6"/>
    <s v="Finance"/>
    <s v="Corporate"/>
    <x v="0"/>
    <s v="Caucasian"/>
    <n v="48"/>
    <x v="0"/>
    <x v="504"/>
    <n v="1999"/>
    <n v="4"/>
    <n v="102847"/>
    <n v="0.05"/>
    <s v="United States"/>
    <s v="Chicago"/>
    <s v=""/>
  </r>
  <r>
    <s v="E03393"/>
    <s v="Henry Figueroa"/>
    <x v="0"/>
    <s v="Finance"/>
    <s v="Manufacturing"/>
    <x v="1"/>
    <s v="Latino"/>
    <n v="46"/>
    <x v="0"/>
    <x v="505"/>
    <n v="2010"/>
    <n v="7"/>
    <n v="134881"/>
    <n v="0.15"/>
    <s v="Brazil"/>
    <s v="Manaus"/>
    <s v=""/>
  </r>
  <r>
    <s v="E02977"/>
    <s v="Nicholas Song"/>
    <x v="13"/>
    <s v="Marketing"/>
    <s v="Manufacturing"/>
    <x v="1"/>
    <s v="Asian"/>
    <n v="52"/>
    <x v="0"/>
    <x v="506"/>
    <n v="1999"/>
    <n v="5"/>
    <n v="68807"/>
    <n v="0"/>
    <s v="China"/>
    <s v="Chengdu"/>
    <d v="2015-11-30T00:00:00"/>
  </r>
  <r>
    <s v="E03371"/>
    <s v="Jack Alexander"/>
    <x v="9"/>
    <s v="IT"/>
    <s v="Manufacturing"/>
    <x v="1"/>
    <s v="Caucasian"/>
    <n v="56"/>
    <x v="0"/>
    <x v="507"/>
    <n v="2006"/>
    <n v="5"/>
    <n v="228822"/>
    <n v="0.36"/>
    <s v="United States"/>
    <s v="Miami"/>
    <s v=""/>
  </r>
  <r>
    <s v="E02531"/>
    <s v="Jameson Foster"/>
    <x v="7"/>
    <s v="Marketing"/>
    <s v="Manufacturing"/>
    <x v="1"/>
    <s v="Caucasian"/>
    <n v="28"/>
    <x v="1"/>
    <x v="508"/>
    <n v="2021"/>
    <n v="7"/>
    <n v="43391"/>
    <n v="0"/>
    <s v="United States"/>
    <s v="Columbus"/>
    <s v=""/>
  </r>
  <r>
    <s v="E02473"/>
    <s v="Leonardo Lo"/>
    <x v="10"/>
    <s v="Engineering"/>
    <s v="Speciality Products"/>
    <x v="1"/>
    <s v="Asian"/>
    <n v="29"/>
    <x v="1"/>
    <x v="509"/>
    <n v="2021"/>
    <n v="11"/>
    <n v="91782"/>
    <n v="0"/>
    <s v="China"/>
    <s v="Chongqing"/>
    <s v=""/>
  </r>
  <r>
    <s v="E02468"/>
    <s v="Ella Huang"/>
    <x v="9"/>
    <s v="Marketing"/>
    <s v="Corporate"/>
    <x v="0"/>
    <s v="Asian"/>
    <n v="45"/>
    <x v="0"/>
    <x v="510"/>
    <n v="2016"/>
    <n v="2"/>
    <n v="211637"/>
    <n v="0.31"/>
    <s v="United States"/>
    <s v="Chicago"/>
    <s v=""/>
  </r>
  <r>
    <s v="E01499"/>
    <s v="Liam Jordan"/>
    <x v="3"/>
    <s v="IT"/>
    <s v="Manufacturing"/>
    <x v="1"/>
    <s v="Caucasian"/>
    <n v="28"/>
    <x v="1"/>
    <x v="511"/>
    <n v="2020"/>
    <n v="8"/>
    <n v="73255"/>
    <n v="0.09"/>
    <s v="United States"/>
    <s v="Phoenix"/>
    <s v=""/>
  </r>
  <r>
    <s v="E03697"/>
    <s v="Isaac Woods"/>
    <x v="6"/>
    <s v="Sales"/>
    <s v="Corporate"/>
    <x v="1"/>
    <s v="Caucasian"/>
    <n v="28"/>
    <x v="1"/>
    <x v="512"/>
    <n v="2021"/>
    <n v="1"/>
    <n v="108826"/>
    <n v="0.1"/>
    <s v="United States"/>
    <s v="Miami"/>
    <s v=""/>
  </r>
  <r>
    <s v="E00593"/>
    <s v="Luke Wilson"/>
    <x v="29"/>
    <s v="IT"/>
    <s v="Speciality Products"/>
    <x v="1"/>
    <s v="Caucasian"/>
    <n v="34"/>
    <x v="0"/>
    <x v="513"/>
    <n v="2016"/>
    <n v="5"/>
    <n v="94352"/>
    <n v="0"/>
    <s v="United States"/>
    <s v="Miami"/>
    <s v=""/>
  </r>
  <r>
    <s v="E01103"/>
    <s v="Lyla Alvarez"/>
    <x v="30"/>
    <s v="IT"/>
    <s v="Research &amp; Development"/>
    <x v="0"/>
    <s v="Latino"/>
    <n v="55"/>
    <x v="0"/>
    <x v="514"/>
    <n v="1994"/>
    <n v="8"/>
    <n v="73955"/>
    <n v="0"/>
    <s v="United States"/>
    <s v="Phoenix"/>
    <s v=""/>
  </r>
  <r>
    <s v="E03889"/>
    <s v="Caleb Flores"/>
    <x v="6"/>
    <s v="Human Resources"/>
    <s v="Manufacturing"/>
    <x v="1"/>
    <s v="Latino"/>
    <n v="34"/>
    <x v="0"/>
    <x v="515"/>
    <n v="2013"/>
    <n v="8"/>
    <n v="113909"/>
    <n v="0.06"/>
    <s v="Brazil"/>
    <s v="Rio de Janerio"/>
    <s v=""/>
  </r>
  <r>
    <s v="E01958"/>
    <s v="Angel Lin"/>
    <x v="32"/>
    <s v="IT"/>
    <s v="Manufacturing"/>
    <x v="1"/>
    <s v="Asian"/>
    <n v="27"/>
    <x v="1"/>
    <x v="516"/>
    <n v="2020"/>
    <n v="12"/>
    <n v="92321"/>
    <n v="0"/>
    <s v="United States"/>
    <s v="Chicago"/>
    <s v=""/>
  </r>
  <r>
    <s v="E01870"/>
    <s v="Easton Moore"/>
    <x v="3"/>
    <s v="IT"/>
    <s v="Research &amp; Development"/>
    <x v="1"/>
    <s v="Caucasian"/>
    <n v="52"/>
    <x v="0"/>
    <x v="517"/>
    <n v="2013"/>
    <n v="5"/>
    <n v="99557"/>
    <n v="0.09"/>
    <s v="United States"/>
    <s v="Seattle"/>
    <s v=""/>
  </r>
  <r>
    <s v="E01167"/>
    <s v="Kinsley Collins"/>
    <x v="18"/>
    <s v="Engineering"/>
    <s v="Speciality Products"/>
    <x v="0"/>
    <s v="Caucasian"/>
    <n v="28"/>
    <x v="1"/>
    <x v="518"/>
    <n v="2018"/>
    <n v="11"/>
    <n v="115854"/>
    <n v="0"/>
    <s v="United States"/>
    <s v="Phoenix"/>
    <s v=""/>
  </r>
  <r>
    <s v="E00099"/>
    <s v="Brooklyn Salazar"/>
    <x v="30"/>
    <s v="IT"/>
    <s v="Manufacturing"/>
    <x v="0"/>
    <s v="Latino"/>
    <n v="44"/>
    <x v="0"/>
    <x v="519"/>
    <n v="2011"/>
    <n v="3"/>
    <n v="82462"/>
    <n v="0"/>
    <s v="United States"/>
    <s v="Austin"/>
    <s v=""/>
  </r>
  <r>
    <s v="E00044"/>
    <s v="Scarlett Jenkins"/>
    <x v="9"/>
    <s v="IT"/>
    <s v="Research &amp; Development"/>
    <x v="0"/>
    <s v="Caucasian"/>
    <n v="53"/>
    <x v="0"/>
    <x v="520"/>
    <n v="2011"/>
    <n v="11"/>
    <n v="198473"/>
    <n v="0.32"/>
    <s v="United States"/>
    <s v="Miami"/>
    <s v=""/>
  </r>
  <r>
    <s v="E00711"/>
    <s v="Melody Chin"/>
    <x v="0"/>
    <s v="Finance"/>
    <s v="Corporate"/>
    <x v="0"/>
    <s v="Asian"/>
    <n v="43"/>
    <x v="0"/>
    <x v="521"/>
    <n v="2006"/>
    <n v="10"/>
    <n v="153492"/>
    <n v="0.11"/>
    <s v="United States"/>
    <s v="Chicago"/>
    <s v=""/>
  </r>
  <r>
    <s v="E04795"/>
    <s v="Eloise Alexander"/>
    <x v="9"/>
    <s v="Human Resources"/>
    <s v="Corporate"/>
    <x v="0"/>
    <s v="Black"/>
    <n v="28"/>
    <x v="1"/>
    <x v="522"/>
    <n v="2018"/>
    <n v="1"/>
    <n v="208210"/>
    <n v="0.3"/>
    <s v="United States"/>
    <s v="Seattle"/>
    <s v=""/>
  </r>
  <r>
    <s v="E03912"/>
    <s v="Carter Turner"/>
    <x v="4"/>
    <s v="Marketing"/>
    <s v="Corporate"/>
    <x v="1"/>
    <s v="Caucasian"/>
    <n v="33"/>
    <x v="0"/>
    <x v="523"/>
    <n v="2015"/>
    <n v="11"/>
    <n v="91632"/>
    <n v="0"/>
    <s v="United States"/>
    <s v="Phoenix"/>
    <s v=""/>
  </r>
  <r>
    <s v="E02103"/>
    <s v="Andrew Ma"/>
    <x v="16"/>
    <s v="Human Resources"/>
    <s v="Corporate"/>
    <x v="1"/>
    <s v="Asian"/>
    <n v="31"/>
    <x v="0"/>
    <x v="524"/>
    <n v="2017"/>
    <n v="9"/>
    <n v="71755"/>
    <n v="0"/>
    <s v="China"/>
    <s v="Chongqing"/>
    <s v=""/>
  </r>
  <r>
    <s v="E04213"/>
    <s v="Hailey Xi"/>
    <x v="6"/>
    <s v="Accounting"/>
    <s v="Corporate"/>
    <x v="0"/>
    <s v="Asian"/>
    <n v="52"/>
    <x v="0"/>
    <x v="525"/>
    <n v="2021"/>
    <n v="11"/>
    <n v="111006"/>
    <n v="0.08"/>
    <s v="China"/>
    <s v="Chongqing"/>
    <s v=""/>
  </r>
  <r>
    <s v="E04756"/>
    <s v="Aiden Le"/>
    <x v="21"/>
    <s v="IT"/>
    <s v="Corporate"/>
    <x v="1"/>
    <s v="Asian"/>
    <n v="55"/>
    <x v="0"/>
    <x v="526"/>
    <n v="1994"/>
    <n v="12"/>
    <n v="99774"/>
    <n v="0"/>
    <s v="United States"/>
    <s v="Austin"/>
    <s v=""/>
  </r>
  <r>
    <s v="E04114"/>
    <s v="Christopher Lim"/>
    <x v="2"/>
    <s v="IT"/>
    <s v="Research &amp; Development"/>
    <x v="1"/>
    <s v="Asian"/>
    <n v="55"/>
    <x v="0"/>
    <x v="527"/>
    <n v="2007"/>
    <n v="3"/>
    <n v="184648"/>
    <n v="0.24"/>
    <s v="China"/>
    <s v="Shanghai"/>
    <s v=""/>
  </r>
  <r>
    <s v="E01423"/>
    <s v="James Castillo"/>
    <x v="9"/>
    <s v="IT"/>
    <s v="Manufacturing"/>
    <x v="1"/>
    <s v="Latino"/>
    <n v="51"/>
    <x v="0"/>
    <x v="528"/>
    <n v="2001"/>
    <n v="7"/>
    <n v="247874"/>
    <n v="0.33"/>
    <s v="Brazil"/>
    <s v="Manaus"/>
    <s v=""/>
  </r>
  <r>
    <s v="E03181"/>
    <s v="Greyson Dang"/>
    <x v="25"/>
    <s v="Engineering"/>
    <s v="Manufacturing"/>
    <x v="1"/>
    <s v="Asian"/>
    <n v="60"/>
    <x v="2"/>
    <x v="529"/>
    <n v="2009"/>
    <n v="5"/>
    <n v="62239"/>
    <n v="0"/>
    <s v="China"/>
    <s v="Beijing"/>
    <s v=""/>
  </r>
  <r>
    <s v="E03305"/>
    <s v="Hannah King"/>
    <x v="6"/>
    <s v="Accounting"/>
    <s v="Speciality Products"/>
    <x v="0"/>
    <s v="Caucasian"/>
    <n v="31"/>
    <x v="0"/>
    <x v="530"/>
    <n v="2014"/>
    <n v="10"/>
    <n v="114911"/>
    <n v="7.0000000000000007E-2"/>
    <s v="United States"/>
    <s v="Chicago"/>
    <s v=""/>
  </r>
  <r>
    <s v="E00703"/>
    <s v="Wesley Dominguez"/>
    <x v="11"/>
    <s v="Engineering"/>
    <s v="Corporate"/>
    <x v="1"/>
    <s v="Latino"/>
    <n v="45"/>
    <x v="0"/>
    <x v="531"/>
    <n v="2018"/>
    <n v="4"/>
    <n v="115490"/>
    <n v="0.12"/>
    <s v="United States"/>
    <s v="Chicago"/>
    <s v=""/>
  </r>
  <r>
    <s v="E04403"/>
    <s v="Dominic Hu"/>
    <x v="6"/>
    <s v="Accounting"/>
    <s v="Speciality Products"/>
    <x v="1"/>
    <s v="Asian"/>
    <n v="34"/>
    <x v="0"/>
    <x v="532"/>
    <n v="2012"/>
    <n v="2"/>
    <n v="118708"/>
    <n v="7.0000000000000007E-2"/>
    <s v="China"/>
    <s v="Shanghai"/>
    <s v=""/>
  </r>
  <r>
    <s v="E00103"/>
    <s v="Nora Park"/>
    <x v="2"/>
    <s v="Accounting"/>
    <s v="Speciality Products"/>
    <x v="0"/>
    <s v="Asian"/>
    <n v="29"/>
    <x v="1"/>
    <x v="533"/>
    <n v="2017"/>
    <n v="6"/>
    <n v="197649"/>
    <n v="0.2"/>
    <s v="United States"/>
    <s v="Columbus"/>
    <s v=""/>
  </r>
  <r>
    <s v="E04487"/>
    <s v="Audrey Hwang"/>
    <x v="4"/>
    <s v="Accounting"/>
    <s v="Speciality Products"/>
    <x v="0"/>
    <s v="Asian"/>
    <n v="45"/>
    <x v="0"/>
    <x v="534"/>
    <n v="2020"/>
    <n v="6"/>
    <n v="89841"/>
    <n v="0"/>
    <s v="China"/>
    <s v="Beijing"/>
    <s v=""/>
  </r>
  <r>
    <s v="E01194"/>
    <s v="Ella Jenkins"/>
    <x v="13"/>
    <s v="Finance"/>
    <s v="Speciality Products"/>
    <x v="0"/>
    <s v="Caucasian"/>
    <n v="52"/>
    <x v="0"/>
    <x v="535"/>
    <n v="2019"/>
    <n v="12"/>
    <n v="61026"/>
    <n v="0"/>
    <s v="United States"/>
    <s v="Phoenix"/>
    <s v=""/>
  </r>
  <r>
    <s v="E02179"/>
    <s v="Peyton Owens"/>
    <x v="8"/>
    <s v="Engineering"/>
    <s v="Speciality Products"/>
    <x v="0"/>
    <s v="Caucasian"/>
    <n v="48"/>
    <x v="0"/>
    <x v="536"/>
    <n v="2014"/>
    <n v="9"/>
    <n v="96693"/>
    <n v="0"/>
    <s v="United States"/>
    <s v="Chicago"/>
    <s v=""/>
  </r>
  <r>
    <s v="E04242"/>
    <s v="Alice Lopez"/>
    <x v="22"/>
    <s v="Engineering"/>
    <s v="Speciality Products"/>
    <x v="0"/>
    <s v="Latino"/>
    <n v="48"/>
    <x v="0"/>
    <x v="537"/>
    <n v="2009"/>
    <n v="6"/>
    <n v="82907"/>
    <n v="0"/>
    <s v="United States"/>
    <s v="Seattle"/>
    <s v=""/>
  </r>
  <r>
    <s v="E01371"/>
    <s v="Dominic Le"/>
    <x v="9"/>
    <s v="Marketing"/>
    <s v="Corporate"/>
    <x v="1"/>
    <s v="Asian"/>
    <n v="41"/>
    <x v="0"/>
    <x v="538"/>
    <n v="2014"/>
    <n v="10"/>
    <n v="257194"/>
    <n v="0.35"/>
    <s v="China"/>
    <s v="Chongqing"/>
    <s v=""/>
  </r>
  <r>
    <s v="E03065"/>
    <s v="Ezra Ortiz"/>
    <x v="10"/>
    <s v="Engineering"/>
    <s v="Research &amp; Development"/>
    <x v="1"/>
    <s v="Latino"/>
    <n v="41"/>
    <x v="0"/>
    <x v="539"/>
    <n v="2012"/>
    <n v="1"/>
    <n v="94658"/>
    <n v="0"/>
    <s v="United States"/>
    <s v="Miami"/>
    <s v=""/>
  </r>
  <r>
    <s v="E01377"/>
    <s v="Grayson Luu"/>
    <x v="10"/>
    <s v="Engineering"/>
    <s v="Research &amp; Development"/>
    <x v="1"/>
    <s v="Asian"/>
    <n v="55"/>
    <x v="0"/>
    <x v="540"/>
    <n v="2011"/>
    <n v="4"/>
    <n v="89419"/>
    <n v="0"/>
    <s v="China"/>
    <s v="Shanghai"/>
    <s v=""/>
  </r>
  <r>
    <s v="E03097"/>
    <s v="Brooks Stewart"/>
    <x v="16"/>
    <s v="Human Resources"/>
    <s v="Manufacturing"/>
    <x v="1"/>
    <s v="Black"/>
    <n v="45"/>
    <x v="0"/>
    <x v="541"/>
    <n v="2015"/>
    <n v="12"/>
    <n v="51983"/>
    <n v="0"/>
    <s v="United States"/>
    <s v="Columbus"/>
    <s v=""/>
  </r>
  <r>
    <s v="E01668"/>
    <s v="Naomi Xi"/>
    <x v="2"/>
    <s v="Finance"/>
    <s v="Corporate"/>
    <x v="0"/>
    <s v="Asian"/>
    <n v="53"/>
    <x v="0"/>
    <x v="542"/>
    <n v="2002"/>
    <n v="2"/>
    <n v="179494"/>
    <n v="0.2"/>
    <s v="China"/>
    <s v="Chongqing"/>
    <s v=""/>
  </r>
  <r>
    <s v="E03354"/>
    <s v="Silas Estrada"/>
    <x v="30"/>
    <s v="IT"/>
    <s v="Corporate"/>
    <x v="1"/>
    <s v="Latino"/>
    <n v="49"/>
    <x v="0"/>
    <x v="543"/>
    <n v="2016"/>
    <n v="6"/>
    <n v="68426"/>
    <n v="0"/>
    <s v="Brazil"/>
    <s v="Rio de Janerio"/>
    <s v=""/>
  </r>
  <r>
    <s v="E02088"/>
    <s v="Skylar Ayala"/>
    <x v="0"/>
    <s v="Finance"/>
    <s v="Corporate"/>
    <x v="0"/>
    <s v="Latino"/>
    <n v="55"/>
    <x v="0"/>
    <x v="544"/>
    <n v="2017"/>
    <n v="2"/>
    <n v="144986"/>
    <n v="0.12"/>
    <s v="United States"/>
    <s v="Phoenix"/>
    <s v=""/>
  </r>
  <r>
    <s v="E03980"/>
    <s v="Lydia Huynh"/>
    <x v="5"/>
    <s v="Sales"/>
    <s v="Speciality Products"/>
    <x v="0"/>
    <s v="Asian"/>
    <n v="45"/>
    <x v="0"/>
    <x v="545"/>
    <n v="2000"/>
    <n v="8"/>
    <n v="60113"/>
    <n v="0"/>
    <s v="United States"/>
    <s v="Chicago"/>
    <s v=""/>
  </r>
  <r>
    <s v="E00972"/>
    <s v="Hazel Cortez"/>
    <x v="16"/>
    <s v="Human Resources"/>
    <s v="Research &amp; Development"/>
    <x v="0"/>
    <s v="Latino"/>
    <n v="52"/>
    <x v="0"/>
    <x v="546"/>
    <n v="2021"/>
    <n v="4"/>
    <n v="50548"/>
    <n v="0"/>
    <s v="Brazil"/>
    <s v="Sao Paulo"/>
    <s v=""/>
  </r>
  <r>
    <s v="E00824"/>
    <s v="Everleigh Adams"/>
    <x v="13"/>
    <s v="Marketing"/>
    <s v="Manufacturing"/>
    <x v="0"/>
    <s v="Caucasian"/>
    <n v="33"/>
    <x v="0"/>
    <x v="547"/>
    <n v="2020"/>
    <n v="3"/>
    <n v="68846"/>
    <n v="0"/>
    <s v="United States"/>
    <s v="Chicago"/>
    <s v=""/>
  </r>
  <r>
    <s v="E04359"/>
    <s v="Layla Salazar"/>
    <x v="29"/>
    <s v="IT"/>
    <s v="Corporate"/>
    <x v="0"/>
    <s v="Latino"/>
    <n v="59"/>
    <x v="0"/>
    <x v="548"/>
    <n v="2014"/>
    <n v="3"/>
    <n v="90901"/>
    <n v="0"/>
    <s v="United States"/>
    <s v="Seattle"/>
    <s v=""/>
  </r>
  <r>
    <s v="E03113"/>
    <s v="Willow Chen"/>
    <x v="6"/>
    <s v="Accounting"/>
    <s v="Corporate"/>
    <x v="0"/>
    <s v="Asian"/>
    <n v="50"/>
    <x v="0"/>
    <x v="549"/>
    <n v="2012"/>
    <n v="9"/>
    <n v="102033"/>
    <n v="0.08"/>
    <s v="United States"/>
    <s v="Austin"/>
    <s v=""/>
  </r>
  <r>
    <s v="E01488"/>
    <s v="Penelope Griffin"/>
    <x v="2"/>
    <s v="Sales"/>
    <s v="Manufacturing"/>
    <x v="0"/>
    <s v="Caucasian"/>
    <n v="61"/>
    <x v="2"/>
    <x v="550"/>
    <n v="2021"/>
    <n v="1"/>
    <n v="151783"/>
    <n v="0.26"/>
    <s v="United States"/>
    <s v="Seattle"/>
    <s v=""/>
  </r>
  <r>
    <s v="E01787"/>
    <s v="Lillian Romero"/>
    <x v="2"/>
    <s v="Engineering"/>
    <s v="Corporate"/>
    <x v="0"/>
    <s v="Latino"/>
    <n v="27"/>
    <x v="1"/>
    <x v="551"/>
    <n v="2018"/>
    <n v="12"/>
    <n v="170164"/>
    <n v="0.17"/>
    <s v="United States"/>
    <s v="Austin"/>
    <s v=""/>
  </r>
  <r>
    <s v="E03550"/>
    <s v="Stella Wu"/>
    <x v="0"/>
    <s v="Marketing"/>
    <s v="Speciality Products"/>
    <x v="0"/>
    <s v="Asian"/>
    <n v="35"/>
    <x v="0"/>
    <x v="552"/>
    <n v="2014"/>
    <n v="2"/>
    <n v="155905"/>
    <n v="0.14000000000000001"/>
    <s v="United States"/>
    <s v="Phoenix"/>
    <s v=""/>
  </r>
  <r>
    <s v="E01052"/>
    <s v="Parker Vang"/>
    <x v="7"/>
    <s v="Sales"/>
    <s v="Corporate"/>
    <x v="1"/>
    <s v="Asian"/>
    <n v="40"/>
    <x v="0"/>
    <x v="553"/>
    <n v="2016"/>
    <n v="12"/>
    <n v="50733"/>
    <n v="0"/>
    <s v="United States"/>
    <s v="Miami"/>
    <s v=""/>
  </r>
  <r>
    <s v="E04799"/>
    <s v="Mila Roberts"/>
    <x v="15"/>
    <s v="Human Resources"/>
    <s v="Corporate"/>
    <x v="0"/>
    <s v="Caucasian"/>
    <n v="30"/>
    <x v="0"/>
    <x v="554"/>
    <n v="2017"/>
    <n v="1"/>
    <n v="88663"/>
    <n v="0"/>
    <s v="United States"/>
    <s v="Phoenix"/>
    <s v=""/>
  </r>
  <r>
    <s v="E03402"/>
    <s v="Isaac Liu"/>
    <x v="17"/>
    <s v="Engineering"/>
    <s v="Manufacturing"/>
    <x v="1"/>
    <s v="Asian"/>
    <n v="60"/>
    <x v="2"/>
    <x v="555"/>
    <n v="1992"/>
    <n v="10"/>
    <n v="88213"/>
    <n v="0"/>
    <s v="China"/>
    <s v="Chongqing"/>
    <s v=""/>
  </r>
  <r>
    <s v="E04128"/>
    <s v="Jacob Doan"/>
    <x v="13"/>
    <s v="Sales"/>
    <s v="Speciality Products"/>
    <x v="1"/>
    <s v="Asian"/>
    <n v="55"/>
    <x v="0"/>
    <x v="556"/>
    <n v="2021"/>
    <n v="8"/>
    <n v="67130"/>
    <n v="0"/>
    <s v="United States"/>
    <s v="Miami"/>
    <s v=""/>
  </r>
  <r>
    <s v="E00013"/>
    <s v="Raelynn Ma"/>
    <x v="4"/>
    <s v="Finance"/>
    <s v="Speciality Products"/>
    <x v="0"/>
    <s v="Asian"/>
    <n v="33"/>
    <x v="0"/>
    <x v="557"/>
    <n v="2015"/>
    <n v="10"/>
    <n v="94876"/>
    <n v="0"/>
    <s v="United States"/>
    <s v="Miami"/>
    <s v=""/>
  </r>
  <r>
    <s v="E03114"/>
    <s v="Jameson Juarez"/>
    <x v="25"/>
    <s v="Engineering"/>
    <s v="Speciality Products"/>
    <x v="1"/>
    <s v="Latino"/>
    <n v="62"/>
    <x v="2"/>
    <x v="558"/>
    <n v="1994"/>
    <n v="10"/>
    <n v="98230"/>
    <n v="0"/>
    <s v="United States"/>
    <s v="Miami"/>
    <s v=""/>
  </r>
  <r>
    <s v="E04004"/>
    <s v="Everleigh Shah"/>
    <x v="22"/>
    <s v="Engineering"/>
    <s v="Research &amp; Development"/>
    <x v="0"/>
    <s v="Asian"/>
    <n v="36"/>
    <x v="0"/>
    <x v="559"/>
    <n v="2018"/>
    <n v="12"/>
    <n v="96757"/>
    <n v="0"/>
    <s v="United States"/>
    <s v="Columbus"/>
    <s v=""/>
  </r>
  <r>
    <s v="E04472"/>
    <s v="Alexander Foster"/>
    <x v="13"/>
    <s v="Marketing"/>
    <s v="Manufacturing"/>
    <x v="1"/>
    <s v="Black"/>
    <n v="35"/>
    <x v="0"/>
    <x v="560"/>
    <n v="2020"/>
    <n v="7"/>
    <n v="51513"/>
    <n v="0"/>
    <s v="United States"/>
    <s v="Columbus"/>
    <s v=""/>
  </r>
  <r>
    <s v="E00161"/>
    <s v="Ryan Ha"/>
    <x v="9"/>
    <s v="Marketing"/>
    <s v="Corporate"/>
    <x v="1"/>
    <s v="Asian"/>
    <n v="60"/>
    <x v="2"/>
    <x v="561"/>
    <n v="2007"/>
    <n v="1"/>
    <n v="234311"/>
    <n v="0.37"/>
    <s v="United States"/>
    <s v="Miami"/>
    <s v=""/>
  </r>
  <r>
    <s v="E04417"/>
    <s v="Chloe Salazar"/>
    <x v="0"/>
    <s v="Human Resources"/>
    <s v="Speciality Products"/>
    <x v="0"/>
    <s v="Latino"/>
    <n v="45"/>
    <x v="0"/>
    <x v="562"/>
    <n v="2011"/>
    <n v="5"/>
    <n v="152353"/>
    <n v="0.14000000000000001"/>
    <s v="United States"/>
    <s v="Seattle"/>
    <s v=""/>
  </r>
  <r>
    <s v="E04536"/>
    <s v="Layla Scott"/>
    <x v="0"/>
    <s v="Accounting"/>
    <s v="Speciality Products"/>
    <x v="0"/>
    <s v="Caucasian"/>
    <n v="48"/>
    <x v="0"/>
    <x v="563"/>
    <n v="2010"/>
    <n v="7"/>
    <n v="124774"/>
    <n v="0.12"/>
    <s v="United States"/>
    <s v="Phoenix"/>
    <s v=""/>
  </r>
  <r>
    <s v="E02534"/>
    <s v="Leah Khan"/>
    <x v="2"/>
    <s v="Marketing"/>
    <s v="Corporate"/>
    <x v="0"/>
    <s v="Asian"/>
    <n v="36"/>
    <x v="0"/>
    <x v="564"/>
    <n v="2010"/>
    <n v="9"/>
    <n v="157070"/>
    <n v="0.28000000000000003"/>
    <s v="China"/>
    <s v="Chongqing"/>
    <s v=""/>
  </r>
  <r>
    <s v="E02857"/>
    <s v="Mason Jimenez"/>
    <x v="0"/>
    <s v="Finance"/>
    <s v="Speciality Products"/>
    <x v="1"/>
    <s v="Latino"/>
    <n v="44"/>
    <x v="0"/>
    <x v="565"/>
    <n v="2019"/>
    <n v="8"/>
    <n v="130133"/>
    <n v="0.15"/>
    <s v="United States"/>
    <s v="Austin"/>
    <d v="2022-05-18T00:00:00"/>
  </r>
  <r>
    <s v="E03059"/>
    <s v="Hailey Dang"/>
    <x v="6"/>
    <s v="Marketing"/>
    <s v="Manufacturing"/>
    <x v="0"/>
    <s v="Asian"/>
    <n v="64"/>
    <x v="2"/>
    <x v="566"/>
    <n v="2019"/>
    <n v="9"/>
    <n v="108780"/>
    <n v="0.06"/>
    <s v="China"/>
    <s v="Shanghai"/>
    <s v=""/>
  </r>
  <r>
    <s v="E02477"/>
    <s v="Amelia Bui"/>
    <x v="2"/>
    <s v="Engineering"/>
    <s v="Speciality Products"/>
    <x v="0"/>
    <s v="Asian"/>
    <n v="46"/>
    <x v="0"/>
    <x v="567"/>
    <n v="2020"/>
    <n v="10"/>
    <n v="151853"/>
    <n v="0.16"/>
    <s v="China"/>
    <s v="Chengdu"/>
    <s v=""/>
  </r>
  <r>
    <s v="E00022"/>
    <s v="Elena Her"/>
    <x v="5"/>
    <s v="Sales"/>
    <s v="Manufacturing"/>
    <x v="0"/>
    <s v="Asian"/>
    <n v="62"/>
    <x v="2"/>
    <x v="568"/>
    <n v="2006"/>
    <n v="9"/>
    <n v="64669"/>
    <n v="0"/>
    <s v="China"/>
    <s v="Chongqing"/>
    <s v=""/>
  </r>
  <r>
    <s v="E03370"/>
    <s v="Ian Cortez"/>
    <x v="13"/>
    <s v="Marketing"/>
    <s v="Research &amp; Development"/>
    <x v="1"/>
    <s v="Latino"/>
    <n v="61"/>
    <x v="2"/>
    <x v="240"/>
    <n v="2008"/>
    <n v="4"/>
    <n v="69352"/>
    <n v="0"/>
    <s v="Brazil"/>
    <s v="Rio de Janerio"/>
    <s v=""/>
  </r>
  <r>
    <s v="E00555"/>
    <s v="Christian Ali"/>
    <x v="13"/>
    <s v="Marketing"/>
    <s v="Research &amp; Development"/>
    <x v="1"/>
    <s v="Asian"/>
    <n v="65"/>
    <x v="2"/>
    <x v="569"/>
    <n v="2001"/>
    <n v="10"/>
    <n v="74631"/>
    <n v="0"/>
    <s v="China"/>
    <s v="Chongqing"/>
    <s v=""/>
  </r>
  <r>
    <s v="E03160"/>
    <s v="Carter Ortiz"/>
    <x v="10"/>
    <s v="Engineering"/>
    <s v="Speciality Products"/>
    <x v="1"/>
    <s v="Latino"/>
    <n v="54"/>
    <x v="0"/>
    <x v="570"/>
    <n v="2012"/>
    <n v="4"/>
    <n v="96441"/>
    <n v="0"/>
    <s v="Brazil"/>
    <s v="Sao Paulo"/>
    <s v=""/>
  </r>
  <r>
    <s v="E03919"/>
    <s v="Grayson Chan"/>
    <x v="11"/>
    <s v="Engineering"/>
    <s v="Speciality Products"/>
    <x v="1"/>
    <s v="Asian"/>
    <n v="46"/>
    <x v="0"/>
    <x v="571"/>
    <n v="2011"/>
    <n v="10"/>
    <n v="114250"/>
    <n v="0.14000000000000001"/>
    <s v="China"/>
    <s v="Chengdu"/>
    <s v=""/>
  </r>
  <r>
    <s v="E01724"/>
    <s v="Nolan Molina"/>
    <x v="3"/>
    <s v="IT"/>
    <s v="Corporate"/>
    <x v="1"/>
    <s v="Latino"/>
    <n v="36"/>
    <x v="0"/>
    <x v="572"/>
    <n v="2020"/>
    <n v="12"/>
    <n v="70165"/>
    <n v="7.0000000000000007E-2"/>
    <s v="Brazil"/>
    <s v="Manaus"/>
    <s v=""/>
  </r>
  <r>
    <s v="E04087"/>
    <s v="Adam Kaur"/>
    <x v="6"/>
    <s v="IT"/>
    <s v="Corporate"/>
    <x v="1"/>
    <s v="Asian"/>
    <n v="60"/>
    <x v="2"/>
    <x v="573"/>
    <n v="2000"/>
    <n v="1"/>
    <n v="109059"/>
    <n v="7.0000000000000007E-2"/>
    <s v="China"/>
    <s v="Chengdu"/>
    <s v=""/>
  </r>
  <r>
    <s v="E02856"/>
    <s v="Amelia Kaur"/>
    <x v="19"/>
    <s v="Engineering"/>
    <s v="Research &amp; Development"/>
    <x v="0"/>
    <s v="Asian"/>
    <n v="30"/>
    <x v="0"/>
    <x v="574"/>
    <n v="2015"/>
    <n v="11"/>
    <n v="77442"/>
    <n v="0"/>
    <s v="United States"/>
    <s v="Columbus"/>
    <s v=""/>
  </r>
  <r>
    <s v="E03805"/>
    <s v="Autumn Gonzales"/>
    <x v="13"/>
    <s v="Sales"/>
    <s v="Corporate"/>
    <x v="0"/>
    <s v="Latino"/>
    <n v="34"/>
    <x v="0"/>
    <x v="575"/>
    <n v="2012"/>
    <n v="6"/>
    <n v="72126"/>
    <n v="0"/>
    <s v="Brazil"/>
    <s v="Manaus"/>
    <s v=""/>
  </r>
  <r>
    <s v="E00319"/>
    <s v="Ezra Wilson"/>
    <x v="31"/>
    <s v="IT"/>
    <s v="Manufacturing"/>
    <x v="1"/>
    <s v="Caucasian"/>
    <n v="55"/>
    <x v="0"/>
    <x v="576"/>
    <n v="2013"/>
    <n v="10"/>
    <n v="70334"/>
    <n v="0"/>
    <s v="United States"/>
    <s v="Miami"/>
    <s v=""/>
  </r>
  <r>
    <s v="E01090"/>
    <s v="Jacob Cheng"/>
    <x v="10"/>
    <s v="Engineering"/>
    <s v="Research &amp; Development"/>
    <x v="1"/>
    <s v="Asian"/>
    <n v="59"/>
    <x v="0"/>
    <x v="577"/>
    <n v="2009"/>
    <n v="12"/>
    <n v="78006"/>
    <n v="0"/>
    <s v="United States"/>
    <s v="Miami"/>
    <s v=""/>
  </r>
  <r>
    <s v="E04323"/>
    <s v="Melody Valdez"/>
    <x v="2"/>
    <s v="IT"/>
    <s v="Manufacturing"/>
    <x v="0"/>
    <s v="Latino"/>
    <n v="28"/>
    <x v="1"/>
    <x v="578"/>
    <n v="2021"/>
    <n v="1"/>
    <n v="160385"/>
    <n v="0.23"/>
    <s v="United States"/>
    <s v="Miami"/>
    <d v="2021-05-18T00:00:00"/>
  </r>
  <r>
    <s v="E02687"/>
    <s v="Caroline Nelson"/>
    <x v="9"/>
    <s v="Finance"/>
    <s v="Corporate"/>
    <x v="0"/>
    <s v="Caucasian"/>
    <n v="36"/>
    <x v="0"/>
    <x v="579"/>
    <n v="2014"/>
    <n v="1"/>
    <n v="202323"/>
    <n v="0.39"/>
    <s v="United States"/>
    <s v="Chicago"/>
    <s v=""/>
  </r>
  <r>
    <s v="E01407"/>
    <s v="Ellie Guerrero"/>
    <x v="0"/>
    <s v="Human Resources"/>
    <s v="Corporate"/>
    <x v="0"/>
    <s v="Latino"/>
    <n v="29"/>
    <x v="1"/>
    <x v="580"/>
    <n v="2020"/>
    <n v="7"/>
    <n v="141555"/>
    <n v="0.11"/>
    <s v="Brazil"/>
    <s v="Manaus"/>
    <s v=""/>
  </r>
  <r>
    <s v="E02748"/>
    <s v="Genesis Zhu"/>
    <x v="2"/>
    <s v="Finance"/>
    <s v="Speciality Products"/>
    <x v="0"/>
    <s v="Asian"/>
    <n v="34"/>
    <x v="0"/>
    <x v="581"/>
    <n v="2020"/>
    <n v="7"/>
    <n v="184960"/>
    <n v="0.18"/>
    <s v="United States"/>
    <s v="Seattle"/>
    <s v=""/>
  </r>
  <r>
    <s v="E01995"/>
    <s v="Jonathan Ho"/>
    <x v="9"/>
    <s v="IT"/>
    <s v="Manufacturing"/>
    <x v="1"/>
    <s v="Asian"/>
    <n v="37"/>
    <x v="0"/>
    <x v="582"/>
    <n v="2011"/>
    <n v="6"/>
    <n v="221592"/>
    <n v="0.31"/>
    <s v="United States"/>
    <s v="Columbus"/>
    <s v=""/>
  </r>
  <r>
    <s v="E01714"/>
    <s v="Savannah Park"/>
    <x v="16"/>
    <s v="Human Resources"/>
    <s v="Manufacturing"/>
    <x v="0"/>
    <s v="Asian"/>
    <n v="44"/>
    <x v="0"/>
    <x v="583"/>
    <n v="2009"/>
    <n v="1"/>
    <n v="53301"/>
    <n v="0"/>
    <s v="United States"/>
    <s v="Seattle"/>
    <s v=""/>
  </r>
  <r>
    <s v="E04491"/>
    <s v="Nathan Chan"/>
    <x v="21"/>
    <s v="IT"/>
    <s v="Corporate"/>
    <x v="1"/>
    <s v="Asian"/>
    <n v="45"/>
    <x v="0"/>
    <x v="584"/>
    <n v="2000"/>
    <n v="3"/>
    <n v="91276"/>
    <n v="0"/>
    <s v="United States"/>
    <s v="Seattle"/>
    <s v=""/>
  </r>
  <r>
    <s v="E01076"/>
    <s v="Sofia Vu"/>
    <x v="0"/>
    <s v="Human Resources"/>
    <s v="Research &amp; Development"/>
    <x v="0"/>
    <s v="Asian"/>
    <n v="52"/>
    <x v="0"/>
    <x v="585"/>
    <n v="2017"/>
    <n v="9"/>
    <n v="140042"/>
    <n v="0.13"/>
    <s v="United States"/>
    <s v="Austin"/>
    <s v=""/>
  </r>
  <r>
    <s v="E04131"/>
    <s v="Ruby Choi"/>
    <x v="7"/>
    <s v="Accounting"/>
    <s v="Manufacturing"/>
    <x v="0"/>
    <s v="Asian"/>
    <n v="40"/>
    <x v="0"/>
    <x v="586"/>
    <n v="2018"/>
    <n v="12"/>
    <n v="57225"/>
    <n v="0"/>
    <s v="United States"/>
    <s v="Columbus"/>
    <s v=""/>
  </r>
  <r>
    <s v="E02843"/>
    <s v="Lily Pena"/>
    <x v="6"/>
    <s v="Human Resources"/>
    <s v="Speciality Products"/>
    <x v="0"/>
    <s v="Latino"/>
    <n v="55"/>
    <x v="0"/>
    <x v="587"/>
    <n v="2010"/>
    <n v="2"/>
    <n v="102839"/>
    <n v="0.05"/>
    <s v="United States"/>
    <s v="Miami"/>
    <s v=""/>
  </r>
  <r>
    <s v="E03758"/>
    <s v="Liam Zhang"/>
    <x v="2"/>
    <s v="Marketing"/>
    <s v="Research &amp; Development"/>
    <x v="1"/>
    <s v="Asian"/>
    <n v="29"/>
    <x v="1"/>
    <x v="588"/>
    <n v="2021"/>
    <n v="9"/>
    <n v="199783"/>
    <n v="0.21"/>
    <s v="United States"/>
    <s v="Chicago"/>
    <d v="2022-04-10T00:00:00"/>
  </r>
  <r>
    <s v="E02063"/>
    <s v="Ian Gutierrez"/>
    <x v="15"/>
    <s v="Human Resources"/>
    <s v="Research &amp; Development"/>
    <x v="1"/>
    <s v="Latino"/>
    <n v="32"/>
    <x v="0"/>
    <x v="589"/>
    <n v="2021"/>
    <n v="4"/>
    <n v="70980"/>
    <n v="0"/>
    <s v="Brazil"/>
    <s v="Rio de Janerio"/>
    <s v=""/>
  </r>
  <r>
    <s v="E00638"/>
    <s v="David Simmons"/>
    <x v="6"/>
    <s v="Marketing"/>
    <s v="Corporate"/>
    <x v="1"/>
    <s v="Caucasian"/>
    <n v="51"/>
    <x v="0"/>
    <x v="590"/>
    <n v="1997"/>
    <n v="1"/>
    <n v="104431"/>
    <n v="7.0000000000000007E-2"/>
    <s v="United States"/>
    <s v="Phoenix"/>
    <s v=""/>
  </r>
  <r>
    <s v="E03571"/>
    <s v="Lincoln Henderson"/>
    <x v="20"/>
    <s v="Human Resources"/>
    <s v="Speciality Products"/>
    <x v="1"/>
    <s v="Caucasian"/>
    <n v="28"/>
    <x v="1"/>
    <x v="591"/>
    <n v="2021"/>
    <n v="6"/>
    <n v="48510"/>
    <n v="0"/>
    <s v="United States"/>
    <s v="Chicago"/>
    <s v=""/>
  </r>
  <r>
    <s v="E01820"/>
    <s v="Nathan Miller"/>
    <x v="10"/>
    <s v="Engineering"/>
    <s v="Speciality Products"/>
    <x v="1"/>
    <s v="Black"/>
    <n v="27"/>
    <x v="1"/>
    <x v="592"/>
    <n v="2019"/>
    <n v="5"/>
    <n v="70110"/>
    <n v="0"/>
    <s v="United States"/>
    <s v="Miami"/>
    <d v="2021-01-07T00:00:00"/>
  </r>
  <r>
    <s v="E01712"/>
    <s v="James Singh"/>
    <x v="2"/>
    <s v="Marketing"/>
    <s v="Corporate"/>
    <x v="1"/>
    <s v="Asian"/>
    <n v="45"/>
    <x v="0"/>
    <x v="593"/>
    <n v="2008"/>
    <n v="3"/>
    <n v="186138"/>
    <n v="0.28000000000000003"/>
    <s v="China"/>
    <s v="Chongqing"/>
    <s v=""/>
  </r>
  <r>
    <s v="E00184"/>
    <s v="Kayden Ortega"/>
    <x v="7"/>
    <s v="Accounting"/>
    <s v="Manufacturing"/>
    <x v="1"/>
    <s v="Latino"/>
    <n v="58"/>
    <x v="0"/>
    <x v="594"/>
    <n v="2010"/>
    <n v="4"/>
    <n v="56350"/>
    <n v="0"/>
    <s v="Brazil"/>
    <s v="Rio de Janerio"/>
    <s v=""/>
  </r>
  <r>
    <s v="E02706"/>
    <s v="Lucy Figueroa"/>
    <x v="0"/>
    <s v="Finance"/>
    <s v="Research &amp; Development"/>
    <x v="0"/>
    <s v="Latino"/>
    <n v="45"/>
    <x v="0"/>
    <x v="595"/>
    <n v="2016"/>
    <n v="1"/>
    <n v="149761"/>
    <n v="0.12"/>
    <s v="United States"/>
    <s v="Columbus"/>
    <s v=""/>
  </r>
  <r>
    <s v="E02899"/>
    <s v="Joshua Cortez"/>
    <x v="0"/>
    <s v="Finance"/>
    <s v="Corporate"/>
    <x v="1"/>
    <s v="Latino"/>
    <n v="44"/>
    <x v="0"/>
    <x v="596"/>
    <n v="2007"/>
    <n v="8"/>
    <n v="126277"/>
    <n v="0.13"/>
    <s v="Brazil"/>
    <s v="Manaus"/>
    <s v=""/>
  </r>
  <r>
    <s v="E02478"/>
    <s v="Alexander Morris"/>
    <x v="6"/>
    <s v="Sales"/>
    <s v="Speciality Products"/>
    <x v="1"/>
    <s v="Caucasian"/>
    <n v="33"/>
    <x v="0"/>
    <x v="597"/>
    <n v="2013"/>
    <n v="6"/>
    <n v="119631"/>
    <n v="0.06"/>
    <s v="United States"/>
    <s v="Phoenix"/>
    <s v=""/>
  </r>
  <r>
    <s v="E04170"/>
    <s v="Grayson Chin"/>
    <x v="9"/>
    <s v="IT"/>
    <s v="Research &amp; Development"/>
    <x v="1"/>
    <s v="Asian"/>
    <n v="26"/>
    <x v="1"/>
    <x v="598"/>
    <n v="2020"/>
    <n v="5"/>
    <n v="256561"/>
    <n v="0.39"/>
    <s v="United States"/>
    <s v="Austin"/>
    <s v=""/>
  </r>
  <r>
    <s v="E00929"/>
    <s v="Allison Espinoza"/>
    <x v="29"/>
    <s v="IT"/>
    <s v="Speciality Products"/>
    <x v="0"/>
    <s v="Latino"/>
    <n v="45"/>
    <x v="0"/>
    <x v="127"/>
    <n v="2020"/>
    <n v="4"/>
    <n v="66958"/>
    <n v="0"/>
    <s v="United States"/>
    <s v="Miami"/>
    <s v=""/>
  </r>
  <r>
    <s v="E00530"/>
    <s v="Naomi Chu"/>
    <x v="0"/>
    <s v="Sales"/>
    <s v="Manufacturing"/>
    <x v="0"/>
    <s v="Asian"/>
    <n v="46"/>
    <x v="0"/>
    <x v="599"/>
    <n v="2004"/>
    <n v="2"/>
    <n v="158897"/>
    <n v="0.1"/>
    <s v="China"/>
    <s v="Chongqing"/>
    <s v=""/>
  </r>
  <r>
    <s v="E03824"/>
    <s v="Jameson Martin"/>
    <x v="1"/>
    <s v="IT"/>
    <s v="Corporate"/>
    <x v="1"/>
    <s v="Caucasian"/>
    <n v="37"/>
    <x v="0"/>
    <x v="600"/>
    <n v="2008"/>
    <n v="2"/>
    <n v="71695"/>
    <n v="0"/>
    <s v="United States"/>
    <s v="Phoenix"/>
    <s v=""/>
  </r>
  <r>
    <s v="E02492"/>
    <s v="Sebastian Gupta"/>
    <x v="4"/>
    <s v="Marketing"/>
    <s v="Corporate"/>
    <x v="1"/>
    <s v="Asian"/>
    <n v="40"/>
    <x v="0"/>
    <x v="601"/>
    <n v="2014"/>
    <n v="9"/>
    <n v="73779"/>
    <n v="0"/>
    <s v="China"/>
    <s v="Chongqing"/>
    <d v="2019-05-09T00:00:00"/>
  </r>
  <r>
    <s v="E01733"/>
    <s v="Eloise Pham"/>
    <x v="6"/>
    <s v="Sales"/>
    <s v="Speciality Products"/>
    <x v="0"/>
    <s v="Asian"/>
    <n v="45"/>
    <x v="0"/>
    <x v="571"/>
    <n v="2011"/>
    <n v="10"/>
    <n v="123640"/>
    <n v="7.0000000000000007E-2"/>
    <s v="China"/>
    <s v="Shanghai"/>
    <s v=""/>
  </r>
  <r>
    <s v="E02857"/>
    <s v="Valentina Davis"/>
    <x v="7"/>
    <s v="Sales"/>
    <s v="Speciality Products"/>
    <x v="0"/>
    <s v="Caucasian"/>
    <n v="33"/>
    <x v="0"/>
    <x v="602"/>
    <n v="2014"/>
    <n v="4"/>
    <n v="46878"/>
    <n v="0"/>
    <s v="United States"/>
    <s v="Miami"/>
    <s v=""/>
  </r>
  <r>
    <s v="E04938"/>
    <s v="Brooklyn Daniels"/>
    <x v="7"/>
    <s v="Marketing"/>
    <s v="Speciality Products"/>
    <x v="0"/>
    <s v="Caucasian"/>
    <n v="64"/>
    <x v="2"/>
    <x v="603"/>
    <n v="2003"/>
    <n v="2"/>
    <n v="57032"/>
    <n v="0"/>
    <s v="United States"/>
    <s v="Miami"/>
    <s v=""/>
  </r>
  <r>
    <s v="E04952"/>
    <s v="Paisley Gomez"/>
    <x v="4"/>
    <s v="Sales"/>
    <s v="Manufacturing"/>
    <x v="0"/>
    <s v="Latino"/>
    <n v="57"/>
    <x v="0"/>
    <x v="604"/>
    <n v="2007"/>
    <n v="10"/>
    <n v="98150"/>
    <n v="0"/>
    <s v="Brazil"/>
    <s v="Rio de Janerio"/>
    <s v=""/>
  </r>
  <r>
    <s v="E02420"/>
    <s v="Madison Li"/>
    <x v="2"/>
    <s v="Marketing"/>
    <s v="Manufacturing"/>
    <x v="0"/>
    <s v="Asian"/>
    <n v="35"/>
    <x v="0"/>
    <x v="605"/>
    <n v="2017"/>
    <n v="3"/>
    <n v="171426"/>
    <n v="0.15"/>
    <s v="China"/>
    <s v="Beijing"/>
    <d v="2017-09-22T00:00:00"/>
  </r>
  <r>
    <s v="E01639"/>
    <s v="Everleigh Simmons"/>
    <x v="7"/>
    <s v="Finance"/>
    <s v="Manufacturing"/>
    <x v="0"/>
    <s v="Caucasian"/>
    <n v="55"/>
    <x v="0"/>
    <x v="606"/>
    <n v="2021"/>
    <n v="4"/>
    <n v="48266"/>
    <n v="0"/>
    <s v="United States"/>
    <s v="Chicago"/>
    <s v=""/>
  </r>
  <r>
    <s v="E03947"/>
    <s v="Logan Soto"/>
    <x v="9"/>
    <s v="Finance"/>
    <s v="Research &amp; Development"/>
    <x v="1"/>
    <s v="Latino"/>
    <n v="36"/>
    <x v="0"/>
    <x v="607"/>
    <n v="2018"/>
    <n v="8"/>
    <n v="223404"/>
    <n v="0.32"/>
    <s v="United States"/>
    <s v="Columbus"/>
    <s v=""/>
  </r>
  <r>
    <s v="E04535"/>
    <s v="Charlotte Vo"/>
    <x v="27"/>
    <s v="IT"/>
    <s v="Speciality Products"/>
    <x v="0"/>
    <s v="Asian"/>
    <n v="57"/>
    <x v="0"/>
    <x v="608"/>
    <n v="2014"/>
    <n v="1"/>
    <n v="74854"/>
    <n v="0"/>
    <s v="United States"/>
    <s v="Seattle"/>
    <s v=""/>
  </r>
  <r>
    <s v="E00380"/>
    <s v="Alice Thompson"/>
    <x v="9"/>
    <s v="Accounting"/>
    <s v="Speciality Products"/>
    <x v="0"/>
    <s v="Caucasian"/>
    <n v="48"/>
    <x v="0"/>
    <x v="172"/>
    <n v="2007"/>
    <n v="4"/>
    <n v="217783"/>
    <n v="0.36"/>
    <s v="United States"/>
    <s v="Seattle"/>
    <s v=""/>
  </r>
  <r>
    <s v="E01432"/>
    <s v="Peyton Garza"/>
    <x v="28"/>
    <s v="IT"/>
    <s v="Manufacturing"/>
    <x v="0"/>
    <s v="Latino"/>
    <n v="53"/>
    <x v="0"/>
    <x v="609"/>
    <n v="2004"/>
    <n v="8"/>
    <n v="44735"/>
    <n v="0"/>
    <s v="Brazil"/>
    <s v="Manaus"/>
    <s v=""/>
  </r>
  <r>
    <s v="E02628"/>
    <s v="Nora Nelson"/>
    <x v="13"/>
    <s v="Finance"/>
    <s v="Manufacturing"/>
    <x v="0"/>
    <s v="Caucasian"/>
    <n v="41"/>
    <x v="0"/>
    <x v="100"/>
    <n v="2007"/>
    <n v="1"/>
    <n v="50685"/>
    <n v="0"/>
    <s v="United States"/>
    <s v="Columbus"/>
    <s v=""/>
  </r>
  <r>
    <s v="E03578"/>
    <s v="Maverick Li"/>
    <x v="13"/>
    <s v="Sales"/>
    <s v="Research &amp; Development"/>
    <x v="1"/>
    <s v="Asian"/>
    <n v="34"/>
    <x v="0"/>
    <x v="490"/>
    <n v="2018"/>
    <n v="3"/>
    <n v="58993"/>
    <n v="0"/>
    <s v="United States"/>
    <s v="Austin"/>
    <s v=""/>
  </r>
  <r>
    <s v="E03563"/>
    <s v="Ian Barnes"/>
    <x v="19"/>
    <s v="Engineering"/>
    <s v="Corporate"/>
    <x v="1"/>
    <s v="Caucasian"/>
    <n v="47"/>
    <x v="0"/>
    <x v="610"/>
    <n v="2020"/>
    <n v="6"/>
    <n v="115765"/>
    <n v="0"/>
    <s v="United States"/>
    <s v="Miami"/>
    <d v="2021-02-02T00:00:00"/>
  </r>
  <r>
    <s v="E02781"/>
    <s v="Athena Vu"/>
    <x v="2"/>
    <s v="Accounting"/>
    <s v="Manufacturing"/>
    <x v="0"/>
    <s v="Asian"/>
    <n v="63"/>
    <x v="2"/>
    <x v="611"/>
    <n v="2007"/>
    <n v="3"/>
    <n v="193044"/>
    <n v="0.15"/>
    <s v="United States"/>
    <s v="Miami"/>
    <s v=""/>
  </r>
  <r>
    <s v="E04739"/>
    <s v="Ruby Washington"/>
    <x v="7"/>
    <s v="Marketing"/>
    <s v="Research &amp; Development"/>
    <x v="0"/>
    <s v="Black"/>
    <n v="65"/>
    <x v="2"/>
    <x v="612"/>
    <n v="2011"/>
    <n v="6"/>
    <n v="56686"/>
    <n v="0"/>
    <s v="United States"/>
    <s v="Seattle"/>
    <d v="2015-06-09T00:00:00"/>
  </r>
  <r>
    <s v="E02665"/>
    <s v="Bella Butler"/>
    <x v="0"/>
    <s v="Finance"/>
    <s v="Manufacturing"/>
    <x v="0"/>
    <s v="Black"/>
    <n v="33"/>
    <x v="0"/>
    <x v="325"/>
    <n v="2019"/>
    <n v="10"/>
    <n v="131652"/>
    <n v="0.11"/>
    <s v="United States"/>
    <s v="Seattle"/>
    <s v=""/>
  </r>
  <r>
    <s v="E04132"/>
    <s v="Kinsley Henry"/>
    <x v="2"/>
    <s v="Marketing"/>
    <s v="Manufacturing"/>
    <x v="0"/>
    <s v="Black"/>
    <n v="45"/>
    <x v="0"/>
    <x v="613"/>
    <n v="2008"/>
    <n v="2"/>
    <n v="150577"/>
    <n v="0.25"/>
    <s v="United States"/>
    <s v="Miami"/>
    <s v=""/>
  </r>
  <r>
    <s v="E00276"/>
    <s v="Kennedy Romero"/>
    <x v="11"/>
    <s v="Engineering"/>
    <s v="Research &amp; Development"/>
    <x v="0"/>
    <s v="Latino"/>
    <n v="37"/>
    <x v="0"/>
    <x v="614"/>
    <n v="2018"/>
    <n v="12"/>
    <n v="87359"/>
    <n v="0.11"/>
    <s v="Brazil"/>
    <s v="Rio de Janerio"/>
    <s v=""/>
  </r>
  <r>
    <s v="E04277"/>
    <s v="Zoe Do"/>
    <x v="13"/>
    <s v="Sales"/>
    <s v="Speciality Products"/>
    <x v="0"/>
    <s v="Asian"/>
    <n v="60"/>
    <x v="2"/>
    <x v="615"/>
    <n v="2014"/>
    <n v="1"/>
    <n v="51877"/>
    <n v="0"/>
    <s v="China"/>
    <s v="Beijing"/>
    <s v=""/>
  </r>
  <r>
    <s v="E03890"/>
    <s v="Everett Khan"/>
    <x v="29"/>
    <s v="IT"/>
    <s v="Manufacturing"/>
    <x v="1"/>
    <s v="Asian"/>
    <n v="43"/>
    <x v="0"/>
    <x v="219"/>
    <n v="2017"/>
    <n v="1"/>
    <n v="86417"/>
    <n v="0"/>
    <s v="United States"/>
    <s v="Chicago"/>
    <s v=""/>
  </r>
  <r>
    <s v="E02012"/>
    <s v="Anna Han"/>
    <x v="27"/>
    <s v="IT"/>
    <s v="Research &amp; Development"/>
    <x v="0"/>
    <s v="Asian"/>
    <n v="65"/>
    <x v="2"/>
    <x v="616"/>
    <n v="2003"/>
    <n v="5"/>
    <n v="96548"/>
    <n v="0"/>
    <s v="United States"/>
    <s v="Austin"/>
    <s v=""/>
  </r>
  <r>
    <s v="E02881"/>
    <s v="Leilani Sharma"/>
    <x v="4"/>
    <s v="Accounting"/>
    <s v="Manufacturing"/>
    <x v="0"/>
    <s v="Asian"/>
    <n v="43"/>
    <x v="0"/>
    <x v="617"/>
    <n v="2014"/>
    <n v="1"/>
    <n v="92940"/>
    <n v="0"/>
    <s v="China"/>
    <s v="Chengdu"/>
    <s v=""/>
  </r>
  <r>
    <s v="E03750"/>
    <s v="Jordan Cho"/>
    <x v="13"/>
    <s v="Accounting"/>
    <s v="Speciality Products"/>
    <x v="1"/>
    <s v="Asian"/>
    <n v="28"/>
    <x v="1"/>
    <x v="618"/>
    <n v="2018"/>
    <n v="8"/>
    <n v="61410"/>
    <n v="0"/>
    <s v="United States"/>
    <s v="Phoenix"/>
    <s v=""/>
  </r>
  <r>
    <s v="E00605"/>
    <s v="Nova Williams"/>
    <x v="6"/>
    <s v="Finance"/>
    <s v="Speciality Products"/>
    <x v="0"/>
    <s v="Black"/>
    <n v="61"/>
    <x v="2"/>
    <x v="619"/>
    <n v="2010"/>
    <n v="4"/>
    <n v="110302"/>
    <n v="0.06"/>
    <s v="United States"/>
    <s v="Miami"/>
    <s v=""/>
  </r>
  <r>
    <s v="E04641"/>
    <s v="Scarlett Hill"/>
    <x v="2"/>
    <s v="Engineering"/>
    <s v="Speciality Products"/>
    <x v="0"/>
    <s v="Black"/>
    <n v="45"/>
    <x v="0"/>
    <x v="620"/>
    <n v="2018"/>
    <n v="4"/>
    <n v="187205"/>
    <n v="0.24"/>
    <s v="United States"/>
    <s v="Columbus"/>
    <d v="2022-06-20T00:00:00"/>
  </r>
  <r>
    <s v="E01019"/>
    <s v="Dominic Scott"/>
    <x v="4"/>
    <s v="Sales"/>
    <s v="Corporate"/>
    <x v="1"/>
    <s v="Caucasian"/>
    <n v="45"/>
    <x v="0"/>
    <x v="621"/>
    <n v="2011"/>
    <n v="3"/>
    <n v="81687"/>
    <n v="0"/>
    <s v="United States"/>
    <s v="Phoenix"/>
    <s v=""/>
  </r>
  <r>
    <s v="E01519"/>
    <s v="Anthony Marquez"/>
    <x v="9"/>
    <s v="IT"/>
    <s v="Speciality Products"/>
    <x v="1"/>
    <s v="Latino"/>
    <n v="54"/>
    <x v="0"/>
    <x v="622"/>
    <n v="2009"/>
    <n v="8"/>
    <n v="241083"/>
    <n v="0.39"/>
    <s v="United States"/>
    <s v="Columbus"/>
    <s v=""/>
  </r>
  <r>
    <s v="E03694"/>
    <s v="Elena Patterson"/>
    <x v="9"/>
    <s v="Finance"/>
    <s v="Speciality Products"/>
    <x v="0"/>
    <s v="Black"/>
    <n v="38"/>
    <x v="0"/>
    <x v="623"/>
    <n v="2018"/>
    <n v="11"/>
    <n v="223805"/>
    <n v="0.36"/>
    <s v="United States"/>
    <s v="Chicago"/>
    <s v=""/>
  </r>
  <r>
    <s v="E01123"/>
    <s v="Madison Nelson"/>
    <x v="2"/>
    <s v="Accounting"/>
    <s v="Corporate"/>
    <x v="0"/>
    <s v="Caucasian"/>
    <n v="27"/>
    <x v="1"/>
    <x v="624"/>
    <n v="2021"/>
    <n v="7"/>
    <n v="161759"/>
    <n v="0.16"/>
    <s v="United States"/>
    <s v="Miami"/>
    <s v=""/>
  </r>
  <r>
    <s v="E01366"/>
    <s v="William Walker"/>
    <x v="3"/>
    <s v="IT"/>
    <s v="Research &amp; Development"/>
    <x v="1"/>
    <s v="Black"/>
    <n v="40"/>
    <x v="0"/>
    <x v="625"/>
    <n v="2019"/>
    <n v="2"/>
    <n v="95899"/>
    <n v="0.1"/>
    <s v="United States"/>
    <s v="Columbus"/>
    <d v="2021-03-08T00:00:00"/>
  </r>
  <r>
    <s v="E04005"/>
    <s v="Lincoln Wong"/>
    <x v="4"/>
    <s v="Finance"/>
    <s v="Corporate"/>
    <x v="1"/>
    <s v="Asian"/>
    <n v="49"/>
    <x v="0"/>
    <x v="626"/>
    <n v="2019"/>
    <n v="6"/>
    <n v="80700"/>
    <n v="0"/>
    <s v="United States"/>
    <s v="Columbus"/>
    <s v=""/>
  </r>
  <r>
    <s v="E02770"/>
    <s v="James Huang"/>
    <x v="6"/>
    <s v="Human Resources"/>
    <s v="Speciality Products"/>
    <x v="1"/>
    <s v="Asian"/>
    <n v="54"/>
    <x v="0"/>
    <x v="627"/>
    <n v="1997"/>
    <n v="3"/>
    <n v="128136"/>
    <n v="0.05"/>
    <s v="China"/>
    <s v="Beijing"/>
    <s v=""/>
  </r>
  <r>
    <s v="E04018"/>
    <s v="Emery Ford"/>
    <x v="13"/>
    <s v="Marketing"/>
    <s v="Corporate"/>
    <x v="0"/>
    <s v="Caucasian"/>
    <n v="39"/>
    <x v="0"/>
    <x v="628"/>
    <n v="2017"/>
    <n v="4"/>
    <n v="58745"/>
    <n v="0"/>
    <s v="United States"/>
    <s v="Austin"/>
    <s v=""/>
  </r>
  <r>
    <s v="E01591"/>
    <s v="Paisley Trinh"/>
    <x v="1"/>
    <s v="IT"/>
    <s v="Corporate"/>
    <x v="0"/>
    <s v="Asian"/>
    <n v="57"/>
    <x v="0"/>
    <x v="629"/>
    <n v="1992"/>
    <n v="5"/>
    <n v="76202"/>
    <n v="0"/>
    <s v="United States"/>
    <s v="Austin"/>
    <d v="1994-12-18T00:00:00"/>
  </r>
  <r>
    <s v="E04940"/>
    <s v="Hudson Williams"/>
    <x v="9"/>
    <s v="Sales"/>
    <s v="Speciality Products"/>
    <x v="1"/>
    <s v="Black"/>
    <n v="36"/>
    <x v="0"/>
    <x v="630"/>
    <n v="2018"/>
    <n v="3"/>
    <n v="195200"/>
    <n v="0.36"/>
    <s v="United States"/>
    <s v="Austin"/>
    <s v=""/>
  </r>
  <r>
    <s v="E03465"/>
    <s v="Harper Phan"/>
    <x v="13"/>
    <s v="Finance"/>
    <s v="Manufacturing"/>
    <x v="0"/>
    <s v="Asian"/>
    <n v="45"/>
    <x v="0"/>
    <x v="631"/>
    <n v="2016"/>
    <n v="12"/>
    <n v="71454"/>
    <n v="0"/>
    <s v="China"/>
    <s v="Shanghai"/>
    <s v=""/>
  </r>
  <r>
    <s v="E03870"/>
    <s v="Madeline Allen"/>
    <x v="21"/>
    <s v="IT"/>
    <s v="Manufacturing"/>
    <x v="0"/>
    <s v="Caucasian"/>
    <n v="30"/>
    <x v="0"/>
    <x v="632"/>
    <n v="2020"/>
    <n v="2"/>
    <n v="94652"/>
    <n v="0"/>
    <s v="United States"/>
    <s v="Seattle"/>
    <s v=""/>
  </r>
  <r>
    <s v="E01927"/>
    <s v="Charles Moore"/>
    <x v="1"/>
    <s v="IT"/>
    <s v="Manufacturing"/>
    <x v="1"/>
    <s v="Black"/>
    <n v="34"/>
    <x v="0"/>
    <x v="633"/>
    <n v="2016"/>
    <n v="2"/>
    <n v="63411"/>
    <n v="0"/>
    <s v="United States"/>
    <s v="Miami"/>
    <s v=""/>
  </r>
  <r>
    <s v="E03064"/>
    <s v="Lincoln Fong"/>
    <x v="13"/>
    <s v="Sales"/>
    <s v="Speciality Products"/>
    <x v="1"/>
    <s v="Asian"/>
    <n v="31"/>
    <x v="0"/>
    <x v="634"/>
    <n v="2020"/>
    <n v="2"/>
    <n v="67171"/>
    <n v="0"/>
    <s v="China"/>
    <s v="Chongqing"/>
    <d v="2021-05-01T00:00:00"/>
  </r>
  <r>
    <s v="E01883"/>
    <s v="Isla Guzman"/>
    <x v="0"/>
    <s v="Accounting"/>
    <s v="Speciality Products"/>
    <x v="0"/>
    <s v="Latino"/>
    <n v="28"/>
    <x v="1"/>
    <x v="635"/>
    <n v="2019"/>
    <n v="7"/>
    <n v="152036"/>
    <n v="0.15"/>
    <s v="Brazil"/>
    <s v="Rio de Janerio"/>
    <s v=""/>
  </r>
  <r>
    <s v="E03984"/>
    <s v="Hailey Foster"/>
    <x v="8"/>
    <s v="Engineering"/>
    <s v="Manufacturing"/>
    <x v="0"/>
    <s v="Black"/>
    <n v="55"/>
    <x v="0"/>
    <x v="636"/>
    <n v="2021"/>
    <n v="3"/>
    <n v="95562"/>
    <n v="0"/>
    <s v="United States"/>
    <s v="Chicago"/>
    <s v=""/>
  </r>
  <r>
    <s v="E00446"/>
    <s v="Hudson Hill"/>
    <x v="4"/>
    <s v="Sales"/>
    <s v="Research &amp; Development"/>
    <x v="1"/>
    <s v="Caucasian"/>
    <n v="30"/>
    <x v="0"/>
    <x v="637"/>
    <n v="2019"/>
    <n v="11"/>
    <n v="96092"/>
    <n v="0"/>
    <s v="United States"/>
    <s v="Austin"/>
    <s v=""/>
  </r>
  <r>
    <s v="E02825"/>
    <s v="Wyatt Li"/>
    <x v="9"/>
    <s v="Engineering"/>
    <s v="Manufacturing"/>
    <x v="1"/>
    <s v="Asian"/>
    <n v="63"/>
    <x v="2"/>
    <x v="638"/>
    <n v="2013"/>
    <n v="6"/>
    <n v="254289"/>
    <n v="0.39"/>
    <s v="United States"/>
    <s v="Chicago"/>
    <s v=""/>
  </r>
  <r>
    <s v="E04174"/>
    <s v="Maverick Henry"/>
    <x v="3"/>
    <s v="IT"/>
    <s v="Research &amp; Development"/>
    <x v="1"/>
    <s v="Caucasian"/>
    <n v="26"/>
    <x v="1"/>
    <x v="639"/>
    <n v="2019"/>
    <n v="7"/>
    <n v="69110"/>
    <n v="0.05"/>
    <s v="United States"/>
    <s v="Chicago"/>
    <s v=""/>
  </r>
  <r>
    <s v="E01899"/>
    <s v="Xavier Jackson"/>
    <x v="9"/>
    <s v="Marketing"/>
    <s v="Speciality Products"/>
    <x v="1"/>
    <s v="Caucasian"/>
    <n v="52"/>
    <x v="0"/>
    <x v="640"/>
    <n v="2002"/>
    <n v="6"/>
    <n v="236314"/>
    <n v="0.34"/>
    <s v="United States"/>
    <s v="Miami"/>
    <s v=""/>
  </r>
  <r>
    <s v="E02562"/>
    <s v="Christian Medina"/>
    <x v="7"/>
    <s v="Marketing"/>
    <s v="Corporate"/>
    <x v="1"/>
    <s v="Latino"/>
    <n v="51"/>
    <x v="0"/>
    <x v="641"/>
    <n v="2007"/>
    <n v="6"/>
    <n v="45206"/>
    <n v="0"/>
    <s v="United States"/>
    <s v="Columbus"/>
    <s v=""/>
  </r>
  <r>
    <s v="E01006"/>
    <s v="Autumn Leung"/>
    <x v="9"/>
    <s v="Finance"/>
    <s v="Research &amp; Development"/>
    <x v="0"/>
    <s v="Asian"/>
    <n v="25"/>
    <x v="1"/>
    <x v="509"/>
    <n v="2021"/>
    <n v="11"/>
    <n v="210708"/>
    <n v="0.33"/>
    <s v="United States"/>
    <s v="Chicago"/>
    <s v=""/>
  </r>
  <r>
    <s v="E02903"/>
    <s v="Robert Vazquez"/>
    <x v="27"/>
    <s v="IT"/>
    <s v="Corporate"/>
    <x v="1"/>
    <s v="Latino"/>
    <n v="40"/>
    <x v="0"/>
    <x v="642"/>
    <n v="2021"/>
    <n v="9"/>
    <n v="87770"/>
    <n v="0"/>
    <s v="United States"/>
    <s v="Austin"/>
    <s v=""/>
  </r>
  <r>
    <s v="E03642"/>
    <s v="Aria Roberts"/>
    <x v="6"/>
    <s v="Accounting"/>
    <s v="Corporate"/>
    <x v="0"/>
    <s v="Caucasian"/>
    <n v="38"/>
    <x v="0"/>
    <x v="643"/>
    <n v="2015"/>
    <n v="8"/>
    <n v="106858"/>
    <n v="0.05"/>
    <s v="United States"/>
    <s v="Seattle"/>
    <s v=""/>
  </r>
  <r>
    <s v="E02884"/>
    <s v="Axel Johnson"/>
    <x v="2"/>
    <s v="Human Resources"/>
    <s v="Corporate"/>
    <x v="1"/>
    <s v="Caucasian"/>
    <n v="60"/>
    <x v="2"/>
    <x v="644"/>
    <n v="2015"/>
    <n v="4"/>
    <n v="155788"/>
    <n v="0.17"/>
    <s v="United States"/>
    <s v="Seattle"/>
    <s v=""/>
  </r>
  <r>
    <s v="E00701"/>
    <s v="Madeline Garcia"/>
    <x v="15"/>
    <s v="Human Resources"/>
    <s v="Speciality Products"/>
    <x v="0"/>
    <s v="Latino"/>
    <n v="45"/>
    <x v="0"/>
    <x v="645"/>
    <n v="2019"/>
    <n v="4"/>
    <n v="74891"/>
    <n v="0"/>
    <s v="Brazil"/>
    <s v="Rio de Janerio"/>
    <s v=""/>
  </r>
  <r>
    <s v="E04720"/>
    <s v="Christopher Chung"/>
    <x v="8"/>
    <s v="Engineering"/>
    <s v="Corporate"/>
    <x v="1"/>
    <s v="Asian"/>
    <n v="28"/>
    <x v="1"/>
    <x v="646"/>
    <n v="2021"/>
    <n v="12"/>
    <n v="95670"/>
    <n v="0"/>
    <s v="United States"/>
    <s v="Phoenix"/>
    <s v=""/>
  </r>
  <r>
    <s v="E01985"/>
    <s v="Eliana Turner"/>
    <x v="5"/>
    <s v="Sales"/>
    <s v="Research &amp; Development"/>
    <x v="0"/>
    <s v="Black"/>
    <n v="65"/>
    <x v="2"/>
    <x v="647"/>
    <n v="2000"/>
    <n v="9"/>
    <n v="67837"/>
    <n v="0"/>
    <s v="United States"/>
    <s v="Austin"/>
    <s v=""/>
  </r>
  <r>
    <s v="E03273"/>
    <s v="Daniel Shah"/>
    <x v="13"/>
    <s v="Sales"/>
    <s v="Research &amp; Development"/>
    <x v="1"/>
    <s v="Asian"/>
    <n v="41"/>
    <x v="0"/>
    <x v="648"/>
    <n v="2010"/>
    <n v="6"/>
    <n v="72425"/>
    <n v="0"/>
    <s v="China"/>
    <s v="Beijing"/>
    <s v=""/>
  </r>
  <r>
    <s v="E02415"/>
    <s v="Penelope Gonzalez"/>
    <x v="4"/>
    <s v="Sales"/>
    <s v="Corporate"/>
    <x v="0"/>
    <s v="Latino"/>
    <n v="52"/>
    <x v="0"/>
    <x v="649"/>
    <n v="1994"/>
    <n v="10"/>
    <n v="93103"/>
    <n v="0"/>
    <s v="United States"/>
    <s v="Phoenix"/>
    <s v=""/>
  </r>
  <r>
    <s v="E02877"/>
    <s v="Mila Allen"/>
    <x v="8"/>
    <s v="Engineering"/>
    <s v="Corporate"/>
    <x v="0"/>
    <s v="Caucasian"/>
    <n v="56"/>
    <x v="0"/>
    <x v="650"/>
    <n v="2015"/>
    <n v="10"/>
    <n v="76272"/>
    <n v="0"/>
    <s v="United States"/>
    <s v="Miami"/>
    <d v="2021-10-22T00:00:00"/>
  </r>
  <r>
    <s v="E00091"/>
    <s v="Emilia Chu"/>
    <x v="13"/>
    <s v="Finance"/>
    <s v="Manufacturing"/>
    <x v="0"/>
    <s v="Asian"/>
    <n v="48"/>
    <x v="0"/>
    <x v="651"/>
    <n v="2003"/>
    <n v="6"/>
    <n v="55760"/>
    <n v="0"/>
    <s v="United States"/>
    <s v="Austin"/>
    <s v=""/>
  </r>
  <r>
    <s v="E02563"/>
    <s v="Emily Clark"/>
    <x v="9"/>
    <s v="Accounting"/>
    <s v="Corporate"/>
    <x v="0"/>
    <s v="Caucasian"/>
    <n v="36"/>
    <x v="0"/>
    <x v="652"/>
    <n v="2020"/>
    <n v="1"/>
    <n v="253294"/>
    <n v="0.4"/>
    <s v="United States"/>
    <s v="Miami"/>
    <s v=""/>
  </r>
  <r>
    <s v="E04221"/>
    <s v="Roman King"/>
    <x v="13"/>
    <s v="Finance"/>
    <s v="Corporate"/>
    <x v="1"/>
    <s v="Caucasian"/>
    <n v="60"/>
    <x v="2"/>
    <x v="653"/>
    <n v="2007"/>
    <n v="8"/>
    <n v="58671"/>
    <n v="0"/>
    <s v="United States"/>
    <s v="Columbus"/>
    <s v=""/>
  </r>
  <r>
    <s v="E04887"/>
    <s v="Emery Do"/>
    <x v="5"/>
    <s v="Sales"/>
    <s v="Research &amp; Development"/>
    <x v="0"/>
    <s v="Asian"/>
    <n v="40"/>
    <x v="0"/>
    <x v="654"/>
    <n v="2018"/>
    <n v="3"/>
    <n v="55457"/>
    <n v="0"/>
    <s v="United States"/>
    <s v="Columbus"/>
    <s v=""/>
  </r>
  <r>
    <s v="E03170"/>
    <s v="Autumn Thao"/>
    <x v="5"/>
    <s v="Sales"/>
    <s v="Manufacturing"/>
    <x v="0"/>
    <s v="Asian"/>
    <n v="63"/>
    <x v="2"/>
    <x v="655"/>
    <n v="2017"/>
    <n v="9"/>
    <n v="72340"/>
    <n v="0"/>
    <s v="United States"/>
    <s v="Phoenix"/>
    <d v="2019-04-03T00:00:00"/>
  </r>
  <r>
    <s v="E01636"/>
    <s v="Naomi Coleman"/>
    <x v="6"/>
    <s v="Marketing"/>
    <s v="Corporate"/>
    <x v="0"/>
    <s v="Caucasian"/>
    <n v="29"/>
    <x v="1"/>
    <x v="656"/>
    <n v="2016"/>
    <n v="11"/>
    <n v="122054"/>
    <n v="0.06"/>
    <s v="United States"/>
    <s v="Phoenix"/>
    <s v=""/>
  </r>
  <r>
    <s v="E01387"/>
    <s v="Cora Zheng"/>
    <x v="2"/>
    <s v="IT"/>
    <s v="Manufacturing"/>
    <x v="0"/>
    <s v="Asian"/>
    <n v="27"/>
    <x v="1"/>
    <x v="657"/>
    <n v="2018"/>
    <n v="1"/>
    <n v="167100"/>
    <n v="0.2"/>
    <s v="China"/>
    <s v="Chengdu"/>
    <s v=""/>
  </r>
  <r>
    <s v="E01363"/>
    <s v="Ayla Daniels"/>
    <x v="1"/>
    <s v="IT"/>
    <s v="Corporate"/>
    <x v="0"/>
    <s v="Caucasian"/>
    <n v="53"/>
    <x v="0"/>
    <x v="658"/>
    <n v="1997"/>
    <n v="4"/>
    <n v="78153"/>
    <n v="0"/>
    <s v="United States"/>
    <s v="Miami"/>
    <s v=""/>
  </r>
  <r>
    <s v="E02249"/>
    <s v="Allison Daniels"/>
    <x v="6"/>
    <s v="Finance"/>
    <s v="Manufacturing"/>
    <x v="0"/>
    <s v="Caucasian"/>
    <n v="37"/>
    <x v="0"/>
    <x v="659"/>
    <n v="2020"/>
    <n v="4"/>
    <n v="103524"/>
    <n v="0.09"/>
    <s v="United States"/>
    <s v="Phoenix"/>
    <s v=""/>
  </r>
  <r>
    <s v="E02987"/>
    <s v="Mateo Harris"/>
    <x v="6"/>
    <s v="IT"/>
    <s v="Corporate"/>
    <x v="1"/>
    <s v="Caucasian"/>
    <n v="30"/>
    <x v="0"/>
    <x v="660"/>
    <n v="2017"/>
    <n v="8"/>
    <n v="119906"/>
    <n v="0.05"/>
    <s v="United States"/>
    <s v="Columbus"/>
    <s v=""/>
  </r>
  <r>
    <s v="E03655"/>
    <s v="Samantha Rogers"/>
    <x v="7"/>
    <s v="Marketing"/>
    <s v="Speciality Products"/>
    <x v="0"/>
    <s v="Caucasian"/>
    <n v="28"/>
    <x v="1"/>
    <x v="661"/>
    <n v="2020"/>
    <n v="1"/>
    <n v="45061"/>
    <n v="0"/>
    <s v="United States"/>
    <s v="Miami"/>
    <s v=""/>
  </r>
  <r>
    <s v="E04048"/>
    <s v="Julian Lee"/>
    <x v="30"/>
    <s v="IT"/>
    <s v="Corporate"/>
    <x v="1"/>
    <s v="Asian"/>
    <n v="51"/>
    <x v="0"/>
    <x v="662"/>
    <n v="2003"/>
    <n v="1"/>
    <n v="91399"/>
    <n v="0"/>
    <s v="United States"/>
    <s v="Seattle"/>
    <s v=""/>
  </r>
  <r>
    <s v="E03626"/>
    <s v="Nicholas Avila"/>
    <x v="14"/>
    <s v="IT"/>
    <s v="Research &amp; Development"/>
    <x v="1"/>
    <s v="Latino"/>
    <n v="28"/>
    <x v="1"/>
    <x v="663"/>
    <n v="2017"/>
    <n v="9"/>
    <n v="97336"/>
    <n v="0"/>
    <s v="United States"/>
    <s v="Austin"/>
    <s v=""/>
  </r>
  <r>
    <s v="E03694"/>
    <s v="Hailey Watson"/>
    <x v="0"/>
    <s v="Accounting"/>
    <s v="Corporate"/>
    <x v="0"/>
    <s v="Black"/>
    <n v="31"/>
    <x v="0"/>
    <x v="664"/>
    <n v="2017"/>
    <n v="1"/>
    <n v="124629"/>
    <n v="0.1"/>
    <s v="United States"/>
    <s v="Columbus"/>
    <s v=""/>
  </r>
  <r>
    <s v="E02920"/>
    <s v="Willow Woods"/>
    <x v="9"/>
    <s v="Human Resources"/>
    <s v="Speciality Products"/>
    <x v="0"/>
    <s v="Caucasian"/>
    <n v="28"/>
    <x v="1"/>
    <x v="665"/>
    <n v="2021"/>
    <n v="7"/>
    <n v="231850"/>
    <n v="0.39"/>
    <s v="United States"/>
    <s v="Miami"/>
    <s v=""/>
  </r>
  <r>
    <s v="E03220"/>
    <s v="Alexander Gonzales"/>
    <x v="6"/>
    <s v="Accounting"/>
    <s v="Research &amp; Development"/>
    <x v="1"/>
    <s v="Latino"/>
    <n v="34"/>
    <x v="0"/>
    <x v="666"/>
    <n v="2018"/>
    <n v="6"/>
    <n v="128329"/>
    <n v="0.08"/>
    <s v="United States"/>
    <s v="Phoenix"/>
    <s v=""/>
  </r>
  <r>
    <s v="E01347"/>
    <s v="Aiden Gonzales"/>
    <x v="9"/>
    <s v="Marketing"/>
    <s v="Speciality Products"/>
    <x v="1"/>
    <s v="Latino"/>
    <n v="44"/>
    <x v="0"/>
    <x v="223"/>
    <n v="2021"/>
    <n v="3"/>
    <n v="186033"/>
    <n v="0.34"/>
    <s v="Brazil"/>
    <s v="Sao Paulo"/>
    <s v=""/>
  </r>
  <r>
    <s v="E03968"/>
    <s v="Joshua Chin"/>
    <x v="0"/>
    <s v="Marketing"/>
    <s v="Manufacturing"/>
    <x v="1"/>
    <s v="Asian"/>
    <n v="60"/>
    <x v="2"/>
    <x v="332"/>
    <n v="2021"/>
    <n v="7"/>
    <n v="121480"/>
    <n v="0.14000000000000001"/>
    <s v="United States"/>
    <s v="Phoenix"/>
    <s v=""/>
  </r>
  <r>
    <s v="E04299"/>
    <s v="Paisley Hall"/>
    <x v="2"/>
    <s v="Human Resources"/>
    <s v="Speciality Products"/>
    <x v="0"/>
    <s v="Caucasian"/>
    <n v="41"/>
    <x v="0"/>
    <x v="667"/>
    <n v="2010"/>
    <n v="5"/>
    <n v="153275"/>
    <n v="0.24"/>
    <s v="United States"/>
    <s v="Columbus"/>
    <s v=""/>
  </r>
  <r>
    <s v="E01150"/>
    <s v="Allison Leung"/>
    <x v="4"/>
    <s v="Sales"/>
    <s v="Research &amp; Development"/>
    <x v="0"/>
    <s v="Asian"/>
    <n v="62"/>
    <x v="2"/>
    <x v="668"/>
    <n v="2020"/>
    <n v="5"/>
    <n v="97830"/>
    <n v="0"/>
    <s v="United States"/>
    <s v="Austin"/>
    <s v=""/>
  </r>
  <r>
    <s v="E03774"/>
    <s v="Hannah Mejia"/>
    <x v="9"/>
    <s v="Marketing"/>
    <s v="Corporate"/>
    <x v="0"/>
    <s v="Latino"/>
    <n v="47"/>
    <x v="0"/>
    <x v="669"/>
    <n v="1999"/>
    <n v="3"/>
    <n v="239394"/>
    <n v="0.32"/>
    <s v="United States"/>
    <s v="Austin"/>
    <s v=""/>
  </r>
  <r>
    <s v="E01638"/>
    <s v="Elizabeth Huang"/>
    <x v="7"/>
    <s v="Finance"/>
    <s v="Speciality Products"/>
    <x v="0"/>
    <s v="Asian"/>
    <n v="62"/>
    <x v="2"/>
    <x v="670"/>
    <n v="2002"/>
    <n v="9"/>
    <n v="49738"/>
    <n v="0"/>
    <s v="China"/>
    <s v="Beijing"/>
    <s v=""/>
  </r>
  <r>
    <s v="E01877"/>
    <s v="Abigail Garza"/>
    <x v="7"/>
    <s v="Accounting"/>
    <s v="Manufacturing"/>
    <x v="0"/>
    <s v="Latino"/>
    <n v="33"/>
    <x v="0"/>
    <x v="671"/>
    <n v="2018"/>
    <n v="5"/>
    <n v="45049"/>
    <n v="0"/>
    <s v="United States"/>
    <s v="Seattle"/>
    <s v=""/>
  </r>
  <r>
    <s v="E01193"/>
    <s v="Raelynn Lu"/>
    <x v="2"/>
    <s v="Finance"/>
    <s v="Research &amp; Development"/>
    <x v="0"/>
    <s v="Asian"/>
    <n v="27"/>
    <x v="1"/>
    <x v="97"/>
    <n v="2020"/>
    <n v="5"/>
    <n v="153628"/>
    <n v="0.28999999999999998"/>
    <s v="China"/>
    <s v="Chongqing"/>
    <d v="2020-12-12T00:00:00"/>
  </r>
  <r>
    <s v="E01789"/>
    <s v="Charles Luu"/>
    <x v="0"/>
    <s v="Sales"/>
    <s v="Manufacturing"/>
    <x v="1"/>
    <s v="Asian"/>
    <n v="25"/>
    <x v="1"/>
    <x v="672"/>
    <n v="2021"/>
    <n v="6"/>
    <n v="142731"/>
    <n v="0.11"/>
    <s v="China"/>
    <s v="Shanghai"/>
    <d v="2022-06-03T00:00:00"/>
  </r>
  <r>
    <s v="E01422"/>
    <s v="Lydia Espinoza"/>
    <x v="0"/>
    <s v="Marketing"/>
    <s v="Speciality Products"/>
    <x v="0"/>
    <s v="Latino"/>
    <n v="29"/>
    <x v="1"/>
    <x v="673"/>
    <n v="2020"/>
    <n v="5"/>
    <n v="137106"/>
    <n v="0.12"/>
    <s v="Brazil"/>
    <s v="Sao Paulo"/>
    <s v=""/>
  </r>
  <r>
    <s v="E00440"/>
    <s v="Adeline Thao"/>
    <x v="9"/>
    <s v="Finance"/>
    <s v="Corporate"/>
    <x v="0"/>
    <s v="Asian"/>
    <n v="54"/>
    <x v="0"/>
    <x v="674"/>
    <n v="2007"/>
    <n v="9"/>
    <n v="183239"/>
    <n v="0.32"/>
    <s v="United States"/>
    <s v="Seattle"/>
    <s v=""/>
  </r>
  <r>
    <s v="E00145"/>
    <s v="Kinsley Dixon"/>
    <x v="7"/>
    <s v="Accounting"/>
    <s v="Manufacturing"/>
    <x v="0"/>
    <s v="Caucasian"/>
    <n v="28"/>
    <x v="1"/>
    <x v="675"/>
    <n v="2019"/>
    <n v="5"/>
    <n v="45819"/>
    <n v="0"/>
    <s v="United States"/>
    <s v="Miami"/>
    <s v=""/>
  </r>
  <r>
    <s v="E04150"/>
    <s v="Natalia Vu"/>
    <x v="7"/>
    <s v="Accounting"/>
    <s v="Research &amp; Development"/>
    <x v="0"/>
    <s v="Asian"/>
    <n v="54"/>
    <x v="0"/>
    <x v="676"/>
    <n v="2006"/>
    <n v="12"/>
    <n v="55518"/>
    <n v="0"/>
    <s v="United States"/>
    <s v="Columbus"/>
    <s v=""/>
  </r>
  <r>
    <s v="E02846"/>
    <s v="Julia Mai"/>
    <x v="6"/>
    <s v="Marketing"/>
    <s v="Manufacturing"/>
    <x v="0"/>
    <s v="Asian"/>
    <n v="50"/>
    <x v="0"/>
    <x v="677"/>
    <n v="2012"/>
    <n v="3"/>
    <n v="108134"/>
    <n v="0.1"/>
    <s v="China"/>
    <s v="Shanghai"/>
    <s v=""/>
  </r>
  <r>
    <s v="E04247"/>
    <s v="Camila Evans"/>
    <x v="6"/>
    <s v="Marketing"/>
    <s v="Research &amp; Development"/>
    <x v="0"/>
    <s v="Black"/>
    <n v="55"/>
    <x v="0"/>
    <x v="678"/>
    <n v="1992"/>
    <n v="12"/>
    <n v="113950"/>
    <n v="0.09"/>
    <s v="United States"/>
    <s v="Miami"/>
    <s v=""/>
  </r>
  <r>
    <s v="E02613"/>
    <s v="Everly Lai"/>
    <x v="9"/>
    <s v="Marketing"/>
    <s v="Speciality Products"/>
    <x v="0"/>
    <s v="Asian"/>
    <n v="52"/>
    <x v="0"/>
    <x v="679"/>
    <n v="1998"/>
    <n v="4"/>
    <n v="182035"/>
    <n v="0.3"/>
    <s v="United States"/>
    <s v="Chicago"/>
    <s v=""/>
  </r>
  <r>
    <s v="E03349"/>
    <s v="Adam He"/>
    <x v="2"/>
    <s v="Accounting"/>
    <s v="Speciality Products"/>
    <x v="1"/>
    <s v="Asian"/>
    <n v="35"/>
    <x v="0"/>
    <x v="680"/>
    <n v="2017"/>
    <n v="8"/>
    <n v="181356"/>
    <n v="0.23"/>
    <s v="China"/>
    <s v="Beijing"/>
    <s v=""/>
  </r>
  <r>
    <s v="E03648"/>
    <s v="Vivian Hunter"/>
    <x v="5"/>
    <s v="Sales"/>
    <s v="Corporate"/>
    <x v="0"/>
    <s v="Black"/>
    <n v="26"/>
    <x v="1"/>
    <x v="681"/>
    <n v="2019"/>
    <n v="8"/>
    <n v="66084"/>
    <n v="0"/>
    <s v="United States"/>
    <s v="Seattle"/>
    <s v=""/>
  </r>
  <r>
    <s v="E02192"/>
    <s v="Lucy Avila"/>
    <x v="29"/>
    <s v="IT"/>
    <s v="Speciality Products"/>
    <x v="0"/>
    <s v="Latino"/>
    <n v="43"/>
    <x v="0"/>
    <x v="682"/>
    <n v="2010"/>
    <n v="4"/>
    <n v="76912"/>
    <n v="0"/>
    <s v="Brazil"/>
    <s v="Sao Paulo"/>
    <s v=""/>
  </r>
  <r>
    <s v="E03981"/>
    <s v="Eliana Li"/>
    <x v="22"/>
    <s v="Engineering"/>
    <s v="Research &amp; Development"/>
    <x v="0"/>
    <s v="Asian"/>
    <n v="63"/>
    <x v="2"/>
    <x v="683"/>
    <n v="2018"/>
    <n v="5"/>
    <n v="67987"/>
    <n v="0"/>
    <s v="United States"/>
    <s v="Miami"/>
    <s v=""/>
  </r>
  <r>
    <s v="E03262"/>
    <s v="Logan Mitchell"/>
    <x v="13"/>
    <s v="Marketing"/>
    <s v="Manufacturing"/>
    <x v="1"/>
    <s v="Caucasian"/>
    <n v="65"/>
    <x v="2"/>
    <x v="684"/>
    <n v="2005"/>
    <n v="8"/>
    <n v="59833"/>
    <n v="0"/>
    <s v="United States"/>
    <s v="Columbus"/>
    <s v=""/>
  </r>
  <r>
    <s v="E02716"/>
    <s v="Dominic Dinh"/>
    <x v="0"/>
    <s v="Marketing"/>
    <s v="Speciality Products"/>
    <x v="1"/>
    <s v="Asian"/>
    <n v="45"/>
    <x v="0"/>
    <x v="685"/>
    <n v="2005"/>
    <n v="4"/>
    <n v="128468"/>
    <n v="0.11"/>
    <s v="United States"/>
    <s v="Chicago"/>
    <s v=""/>
  </r>
  <r>
    <s v="E00245"/>
    <s v="Lucas Daniels"/>
    <x v="6"/>
    <s v="Sales"/>
    <s v="Corporate"/>
    <x v="1"/>
    <s v="Black"/>
    <n v="42"/>
    <x v="0"/>
    <x v="686"/>
    <n v="2011"/>
    <n v="5"/>
    <n v="102440"/>
    <n v="0.06"/>
    <s v="United States"/>
    <s v="Chicago"/>
    <s v=""/>
  </r>
  <r>
    <s v="E04123"/>
    <s v="Andrew Holmes"/>
    <x v="9"/>
    <s v="IT"/>
    <s v="Speciality Products"/>
    <x v="1"/>
    <s v="Black"/>
    <n v="59"/>
    <x v="0"/>
    <x v="687"/>
    <n v="2010"/>
    <n v="12"/>
    <n v="246619"/>
    <n v="0.36"/>
    <s v="United States"/>
    <s v="Miami"/>
    <s v=""/>
  </r>
  <r>
    <s v="E03471"/>
    <s v="Julia Sandoval"/>
    <x v="6"/>
    <s v="Human Resources"/>
    <s v="Corporate"/>
    <x v="0"/>
    <s v="Latino"/>
    <n v="42"/>
    <x v="0"/>
    <x v="688"/>
    <n v="2017"/>
    <n v="11"/>
    <n v="101143"/>
    <n v="0.06"/>
    <s v="United States"/>
    <s v="Miami"/>
    <s v=""/>
  </r>
  <r>
    <s v="E00717"/>
    <s v="Kennedy Vargas"/>
    <x v="20"/>
    <s v="Human Resources"/>
    <s v="Manufacturing"/>
    <x v="0"/>
    <s v="Latino"/>
    <n v="45"/>
    <x v="0"/>
    <x v="689"/>
    <n v="2005"/>
    <n v="10"/>
    <n v="51404"/>
    <n v="0"/>
    <s v="Brazil"/>
    <s v="Manaus"/>
    <d v="2009-12-06T00:00:00"/>
  </r>
  <r>
    <s v="E01966"/>
    <s v="Thomas Williams"/>
    <x v="17"/>
    <s v="Engineering"/>
    <s v="Speciality Products"/>
    <x v="1"/>
    <s v="Caucasian"/>
    <n v="45"/>
    <x v="0"/>
    <x v="690"/>
    <n v="2015"/>
    <n v="11"/>
    <n v="87292"/>
    <n v="0"/>
    <s v="United States"/>
    <s v="Columbus"/>
    <s v=""/>
  </r>
  <r>
    <s v="E03683"/>
    <s v="Raelynn Hong"/>
    <x v="2"/>
    <s v="Marketing"/>
    <s v="Speciality Products"/>
    <x v="0"/>
    <s v="Asian"/>
    <n v="28"/>
    <x v="1"/>
    <x v="691"/>
    <n v="2019"/>
    <n v="12"/>
    <n v="182321"/>
    <n v="0.28000000000000003"/>
    <s v="China"/>
    <s v="Beijing"/>
    <s v=""/>
  </r>
  <r>
    <s v="E03694"/>
    <s v="Eli Reed"/>
    <x v="28"/>
    <s v="IT"/>
    <s v="Corporate"/>
    <x v="1"/>
    <s v="Caucasian"/>
    <n v="51"/>
    <x v="0"/>
    <x v="692"/>
    <n v="2014"/>
    <n v="2"/>
    <n v="53929"/>
    <n v="0"/>
    <s v="United States"/>
    <s v="Miami"/>
    <d v="2017-12-22T00:00:00"/>
  </r>
  <r>
    <s v="E04766"/>
    <s v="Lyla Yoon"/>
    <x v="9"/>
    <s v="Accounting"/>
    <s v="Manufacturing"/>
    <x v="0"/>
    <s v="Asian"/>
    <n v="38"/>
    <x v="0"/>
    <x v="693"/>
    <n v="2012"/>
    <n v="12"/>
    <n v="191571"/>
    <n v="0.32"/>
    <s v="United States"/>
    <s v="Austin"/>
    <s v=""/>
  </r>
  <r>
    <s v="E01465"/>
    <s v="Hannah White"/>
    <x v="0"/>
    <s v="Accounting"/>
    <s v="Corporate"/>
    <x v="0"/>
    <s v="Caucasian"/>
    <n v="62"/>
    <x v="2"/>
    <x v="694"/>
    <n v="2009"/>
    <n v="1"/>
    <n v="150555"/>
    <n v="0.13"/>
    <s v="United States"/>
    <s v="Phoenix"/>
    <s v=""/>
  </r>
  <r>
    <s v="E00206"/>
    <s v="Theodore Xi"/>
    <x v="6"/>
    <s v="Finance"/>
    <s v="Corporate"/>
    <x v="1"/>
    <s v="Asian"/>
    <n v="52"/>
    <x v="0"/>
    <x v="695"/>
    <n v="2009"/>
    <n v="10"/>
    <n v="122890"/>
    <n v="7.0000000000000007E-2"/>
    <s v="China"/>
    <s v="Shanghai"/>
    <s v=""/>
  </r>
  <r>
    <s v="E04088"/>
    <s v="Ezra Liang"/>
    <x v="9"/>
    <s v="Finance"/>
    <s v="Research &amp; Development"/>
    <x v="1"/>
    <s v="Asian"/>
    <n v="52"/>
    <x v="0"/>
    <x v="696"/>
    <n v="1997"/>
    <n v="5"/>
    <n v="216999"/>
    <n v="0.37"/>
    <s v="United States"/>
    <s v="Miami"/>
    <s v=""/>
  </r>
  <r>
    <s v="E02066"/>
    <s v="Grayson Yee"/>
    <x v="6"/>
    <s v="Human Resources"/>
    <s v="Corporate"/>
    <x v="1"/>
    <s v="Asian"/>
    <n v="48"/>
    <x v="0"/>
    <x v="697"/>
    <n v="2015"/>
    <n v="7"/>
    <n v="110565"/>
    <n v="0.09"/>
    <s v="China"/>
    <s v="Beijing"/>
    <s v=""/>
  </r>
  <r>
    <s v="E03227"/>
    <s v="Eli Richardson"/>
    <x v="12"/>
    <s v="IT"/>
    <s v="Speciality Products"/>
    <x v="1"/>
    <s v="Caucasian"/>
    <n v="38"/>
    <x v="0"/>
    <x v="698"/>
    <n v="2015"/>
    <n v="4"/>
    <n v="48762"/>
    <n v="0"/>
    <s v="United States"/>
    <s v="Seattle"/>
    <s v=""/>
  </r>
  <r>
    <s v="E03364"/>
    <s v="Audrey Lee"/>
    <x v="25"/>
    <s v="Engineering"/>
    <s v="Speciality Products"/>
    <x v="0"/>
    <s v="Asian"/>
    <n v="51"/>
    <x v="0"/>
    <x v="699"/>
    <n v="2017"/>
    <n v="2"/>
    <n v="87036"/>
    <n v="0"/>
    <s v="China"/>
    <s v="Chongqing"/>
    <s v=""/>
  </r>
  <r>
    <s v="E00607"/>
    <s v="Jameson Allen"/>
    <x v="2"/>
    <s v="Marketing"/>
    <s v="Speciality Products"/>
    <x v="1"/>
    <s v="Caucasian"/>
    <n v="32"/>
    <x v="0"/>
    <x v="700"/>
    <n v="2016"/>
    <n v="11"/>
    <n v="177443"/>
    <n v="0.16"/>
    <s v="United States"/>
    <s v="Seattle"/>
    <s v=""/>
  </r>
  <r>
    <s v="E02258"/>
    <s v="Eliza Chen"/>
    <x v="14"/>
    <s v="IT"/>
    <s v="Research &amp; Development"/>
    <x v="0"/>
    <s v="Asian"/>
    <n v="36"/>
    <x v="0"/>
    <x v="701"/>
    <n v="2016"/>
    <n v="4"/>
    <n v="75862"/>
    <n v="0"/>
    <s v="United States"/>
    <s v="Austin"/>
    <s v=""/>
  </r>
  <r>
    <s v="E03681"/>
    <s v="Lyla Chen"/>
    <x v="15"/>
    <s v="Human Resources"/>
    <s v="Research &amp; Development"/>
    <x v="0"/>
    <s v="Asian"/>
    <n v="45"/>
    <x v="0"/>
    <x v="645"/>
    <n v="2019"/>
    <n v="4"/>
    <n v="90870"/>
    <n v="0"/>
    <s v="United States"/>
    <s v="Chicago"/>
    <s v=""/>
  </r>
  <r>
    <s v="E02298"/>
    <s v="Emily Doan"/>
    <x v="11"/>
    <s v="Engineering"/>
    <s v="Corporate"/>
    <x v="0"/>
    <s v="Asian"/>
    <n v="32"/>
    <x v="0"/>
    <x v="702"/>
    <n v="2014"/>
    <n v="12"/>
    <n v="99202"/>
    <n v="0.11"/>
    <s v="United States"/>
    <s v="Phoenix"/>
    <s v=""/>
  </r>
  <r>
    <s v="E02984"/>
    <s v="Jack Mai"/>
    <x v="4"/>
    <s v="Marketing"/>
    <s v="Corporate"/>
    <x v="1"/>
    <s v="Asian"/>
    <n v="45"/>
    <x v="0"/>
    <x v="703"/>
    <n v="2007"/>
    <n v="9"/>
    <n v="92293"/>
    <n v="0"/>
    <s v="China"/>
    <s v="Chengdu"/>
    <s v=""/>
  </r>
  <r>
    <s v="E02440"/>
    <s v="Grayson Turner"/>
    <x v="29"/>
    <s v="IT"/>
    <s v="Corporate"/>
    <x v="1"/>
    <s v="Caucasian"/>
    <n v="54"/>
    <x v="0"/>
    <x v="704"/>
    <n v="1992"/>
    <n v="6"/>
    <n v="63196"/>
    <n v="0"/>
    <s v="United States"/>
    <s v="Chicago"/>
    <d v="2014-10-26T00:00:00"/>
  </r>
  <r>
    <s v="E04699"/>
    <s v="Ivy Tang"/>
    <x v="25"/>
    <s v="Engineering"/>
    <s v="Speciality Products"/>
    <x v="0"/>
    <s v="Asian"/>
    <n v="48"/>
    <x v="0"/>
    <x v="705"/>
    <n v="2012"/>
    <n v="5"/>
    <n v="65340"/>
    <n v="0"/>
    <s v="China"/>
    <s v="Shanghai"/>
    <d v="2018-05-09T00:00:00"/>
  </r>
  <r>
    <s v="E03579"/>
    <s v="Robert Zhang"/>
    <x v="9"/>
    <s v="Marketing"/>
    <s v="Corporate"/>
    <x v="1"/>
    <s v="Asian"/>
    <n v="45"/>
    <x v="0"/>
    <x v="706"/>
    <n v="2015"/>
    <n v="9"/>
    <n v="202680"/>
    <n v="0.32"/>
    <s v="United States"/>
    <s v="Phoenix"/>
    <d v="2022-08-17T00:00:00"/>
  </r>
  <r>
    <s v="E01649"/>
    <s v="Eva Alvarado"/>
    <x v="3"/>
    <s v="IT"/>
    <s v="Manufacturing"/>
    <x v="0"/>
    <s v="Latino"/>
    <n v="46"/>
    <x v="0"/>
    <x v="707"/>
    <n v="2017"/>
    <n v="4"/>
    <n v="77461"/>
    <n v="0.09"/>
    <s v="Brazil"/>
    <s v="Sao Paulo"/>
    <s v=""/>
  </r>
  <r>
    <s v="E04969"/>
    <s v="Abigail Vang"/>
    <x v="19"/>
    <s v="Engineering"/>
    <s v="Research &amp; Development"/>
    <x v="0"/>
    <s v="Asian"/>
    <n v="40"/>
    <x v="0"/>
    <x v="708"/>
    <n v="2016"/>
    <n v="9"/>
    <n v="109680"/>
    <n v="0"/>
    <s v="China"/>
    <s v="Chengdu"/>
    <s v=""/>
  </r>
  <r>
    <s v="E00170"/>
    <s v="Claire Adams"/>
    <x v="2"/>
    <s v="Sales"/>
    <s v="Manufacturing"/>
    <x v="0"/>
    <s v="Black"/>
    <n v="61"/>
    <x v="2"/>
    <x v="709"/>
    <n v="1997"/>
    <n v="8"/>
    <n v="159567"/>
    <n v="0.28000000000000003"/>
    <s v="United States"/>
    <s v="Phoenix"/>
    <s v=""/>
  </r>
  <r>
    <s v="E00955"/>
    <s v="Theodore Marquez"/>
    <x v="25"/>
    <s v="Engineering"/>
    <s v="Speciality Products"/>
    <x v="1"/>
    <s v="Latino"/>
    <n v="54"/>
    <x v="0"/>
    <x v="710"/>
    <n v="2012"/>
    <n v="11"/>
    <n v="94407"/>
    <n v="0"/>
    <s v="Brazil"/>
    <s v="Sao Paulo"/>
    <s v=""/>
  </r>
  <r>
    <s v="E00810"/>
    <s v="Hunter Nunez"/>
    <x v="9"/>
    <s v="Human Resources"/>
    <s v="Corporate"/>
    <x v="1"/>
    <s v="Latino"/>
    <n v="62"/>
    <x v="2"/>
    <x v="711"/>
    <n v="2002"/>
    <n v="8"/>
    <n v="234594"/>
    <n v="0.33"/>
    <s v="United States"/>
    <s v="Seattle"/>
    <s v=""/>
  </r>
  <r>
    <s v="E02798"/>
    <s v="Charles Henderson"/>
    <x v="28"/>
    <s v="IT"/>
    <s v="Speciality Products"/>
    <x v="1"/>
    <s v="Caucasian"/>
    <n v="48"/>
    <x v="0"/>
    <x v="712"/>
    <n v="2002"/>
    <n v="2"/>
    <n v="43080"/>
    <n v="0"/>
    <s v="United States"/>
    <s v="Austin"/>
    <s v=""/>
  </r>
  <r>
    <s v="E04542"/>
    <s v="Camila Cortez"/>
    <x v="6"/>
    <s v="Marketing"/>
    <s v="Manufacturing"/>
    <x v="0"/>
    <s v="Latino"/>
    <n v="29"/>
    <x v="1"/>
    <x v="713"/>
    <n v="2021"/>
    <n v="5"/>
    <n v="129541"/>
    <n v="0.08"/>
    <s v="United States"/>
    <s v="Phoenix"/>
    <d v="2021-05-24T00:00:00"/>
  </r>
  <r>
    <s v="E02818"/>
    <s v="Aaron Garza"/>
    <x v="2"/>
    <s v="Sales"/>
    <s v="Research &amp; Development"/>
    <x v="1"/>
    <s v="Latino"/>
    <n v="39"/>
    <x v="0"/>
    <x v="714"/>
    <n v="2013"/>
    <n v="12"/>
    <n v="165756"/>
    <n v="0.28000000000000003"/>
    <s v="United States"/>
    <s v="Columbus"/>
    <d v="2020-06-09T00:00:00"/>
  </r>
  <r>
    <s v="E02907"/>
    <s v="Jose Singh"/>
    <x v="0"/>
    <s v="Finance"/>
    <s v="Speciality Products"/>
    <x v="1"/>
    <s v="Asian"/>
    <n v="44"/>
    <x v="0"/>
    <x v="715"/>
    <n v="2010"/>
    <n v="4"/>
    <n v="142878"/>
    <n v="0.12"/>
    <s v="United States"/>
    <s v="Columbus"/>
    <s v=""/>
  </r>
  <r>
    <s v="E00023"/>
    <s v="Gabriel Joseph"/>
    <x v="2"/>
    <s v="Engineering"/>
    <s v="Manufacturing"/>
    <x v="1"/>
    <s v="Caucasian"/>
    <n v="52"/>
    <x v="0"/>
    <x v="716"/>
    <n v="2006"/>
    <n v="10"/>
    <n v="187992"/>
    <n v="0.28000000000000003"/>
    <s v="United States"/>
    <s v="Miami"/>
    <s v=""/>
  </r>
  <r>
    <s v="E02391"/>
    <s v="Natalia Santos"/>
    <x v="9"/>
    <s v="Human Resources"/>
    <s v="Speciality Products"/>
    <x v="0"/>
    <s v="Latino"/>
    <n v="45"/>
    <x v="0"/>
    <x v="717"/>
    <n v="2019"/>
    <n v="2"/>
    <n v="249801"/>
    <n v="0.39"/>
    <s v="Brazil"/>
    <s v="Sao Paulo"/>
    <s v=""/>
  </r>
  <r>
    <s v="E01429"/>
    <s v="Dylan Wilson"/>
    <x v="32"/>
    <s v="IT"/>
    <s v="Research &amp; Development"/>
    <x v="1"/>
    <s v="Caucasian"/>
    <n v="48"/>
    <x v="0"/>
    <x v="718"/>
    <n v="2006"/>
    <n v="9"/>
    <n v="76505"/>
    <n v="0"/>
    <s v="United States"/>
    <s v="Seattle"/>
    <d v="2007-04-08T00:00:00"/>
  </r>
  <r>
    <s v="E00494"/>
    <s v="Robert Alvarez"/>
    <x v="31"/>
    <s v="IT"/>
    <s v="Corporate"/>
    <x v="1"/>
    <s v="Latino"/>
    <n v="39"/>
    <x v="0"/>
    <x v="324"/>
    <n v="2016"/>
    <n v="10"/>
    <n v="84297"/>
    <n v="0"/>
    <s v="Brazil"/>
    <s v="Manaus"/>
    <s v=""/>
  </r>
  <r>
    <s v="E00634"/>
    <s v="Samantha Chavez"/>
    <x v="4"/>
    <s v="Sales"/>
    <s v="Speciality Products"/>
    <x v="0"/>
    <s v="Latino"/>
    <n v="53"/>
    <x v="0"/>
    <x v="719"/>
    <n v="2017"/>
    <n v="1"/>
    <n v="75769"/>
    <n v="0"/>
    <s v="Brazil"/>
    <s v="Manaus"/>
    <d v="2020-07-17T00:00:00"/>
  </r>
  <r>
    <s v="E01249"/>
    <s v="Samuel Bailey"/>
    <x v="9"/>
    <s v="Accounting"/>
    <s v="Speciality Products"/>
    <x v="1"/>
    <s v="Caucasian"/>
    <n v="41"/>
    <x v="0"/>
    <x v="720"/>
    <n v="2013"/>
    <n v="8"/>
    <n v="235619"/>
    <n v="0.3"/>
    <s v="United States"/>
    <s v="Seattle"/>
    <s v=""/>
  </r>
  <r>
    <s v="E04683"/>
    <s v="Ezekiel Delgado"/>
    <x v="2"/>
    <s v="Engineering"/>
    <s v="Speciality Products"/>
    <x v="1"/>
    <s v="Latino"/>
    <n v="40"/>
    <x v="0"/>
    <x v="721"/>
    <n v="2020"/>
    <n v="2"/>
    <n v="187187"/>
    <n v="0.18"/>
    <s v="Brazil"/>
    <s v="Manaus"/>
    <s v=""/>
  </r>
  <r>
    <s v="E04732"/>
    <s v="Benjamin Ramirez"/>
    <x v="24"/>
    <s v="IT"/>
    <s v="Research &amp; Development"/>
    <x v="1"/>
    <s v="Latino"/>
    <n v="48"/>
    <x v="0"/>
    <x v="722"/>
    <n v="2005"/>
    <n v="7"/>
    <n v="68987"/>
    <n v="0"/>
    <s v="United States"/>
    <s v="Chicago"/>
    <d v="2006-04-22T00:00:00"/>
  </r>
  <r>
    <s v="E03834"/>
    <s v="Anthony Carter"/>
    <x v="2"/>
    <s v="Engineering"/>
    <s v="Speciality Products"/>
    <x v="1"/>
    <s v="Caucasian"/>
    <n v="41"/>
    <x v="0"/>
    <x v="723"/>
    <n v="2007"/>
    <n v="3"/>
    <n v="155926"/>
    <n v="0.24"/>
    <s v="United States"/>
    <s v="Columbus"/>
    <d v="2008-05-30T00:00:00"/>
  </r>
  <r>
    <s v="E02923"/>
    <s v="Ethan Tang"/>
    <x v="4"/>
    <s v="Accounting"/>
    <s v="Speciality Products"/>
    <x v="1"/>
    <s v="Asian"/>
    <n v="54"/>
    <x v="0"/>
    <x v="724"/>
    <n v="2016"/>
    <n v="5"/>
    <n v="93668"/>
    <n v="0"/>
    <s v="United States"/>
    <s v="Chicago"/>
    <s v=""/>
  </r>
  <r>
    <s v="E02642"/>
    <s v="Sebastian Rogers"/>
    <x v="16"/>
    <s v="Human Resources"/>
    <s v="Research &amp; Development"/>
    <x v="1"/>
    <s v="Caucasian"/>
    <n v="38"/>
    <x v="0"/>
    <x v="725"/>
    <n v="2019"/>
    <n v="11"/>
    <n v="69647"/>
    <n v="0"/>
    <s v="United States"/>
    <s v="Miami"/>
    <d v="2022-04-20T00:00:00"/>
  </r>
  <r>
    <s v="E00981"/>
    <s v="Miles Thao"/>
    <x v="27"/>
    <s v="IT"/>
    <s v="Corporate"/>
    <x v="1"/>
    <s v="Asian"/>
    <n v="57"/>
    <x v="0"/>
    <x v="726"/>
    <n v="2003"/>
    <n v="6"/>
    <n v="63318"/>
    <n v="0"/>
    <s v="United States"/>
    <s v="Columbus"/>
    <s v=""/>
  </r>
  <r>
    <s v="E04157"/>
    <s v="William Cao"/>
    <x v="4"/>
    <s v="Marketing"/>
    <s v="Manufacturing"/>
    <x v="1"/>
    <s v="Asian"/>
    <n v="63"/>
    <x v="2"/>
    <x v="727"/>
    <n v="2017"/>
    <n v="2"/>
    <n v="77629"/>
    <n v="0"/>
    <s v="China"/>
    <s v="Beijing"/>
    <s v=""/>
  </r>
  <r>
    <s v="E03528"/>
    <s v="Leo Hsu"/>
    <x v="0"/>
    <s v="Human Resources"/>
    <s v="Manufacturing"/>
    <x v="1"/>
    <s v="Asian"/>
    <n v="62"/>
    <x v="2"/>
    <x v="728"/>
    <n v="2017"/>
    <n v="11"/>
    <n v="138808"/>
    <n v="0.15"/>
    <s v="China"/>
    <s v="Chongqing"/>
    <s v=""/>
  </r>
  <r>
    <s v="E04547"/>
    <s v="Avery Grant"/>
    <x v="14"/>
    <s v="IT"/>
    <s v="Research &amp; Development"/>
    <x v="0"/>
    <s v="Caucasian"/>
    <n v="49"/>
    <x v="0"/>
    <x v="729"/>
    <n v="2014"/>
    <n v="3"/>
    <n v="88777"/>
    <n v="0"/>
    <s v="United States"/>
    <s v="Chicago"/>
    <s v=""/>
  </r>
  <r>
    <s v="E04415"/>
    <s v="Penelope Fong"/>
    <x v="2"/>
    <s v="Accounting"/>
    <s v="Corporate"/>
    <x v="0"/>
    <s v="Asian"/>
    <n v="60"/>
    <x v="2"/>
    <x v="730"/>
    <n v="2004"/>
    <n v="5"/>
    <n v="186378"/>
    <n v="0.26"/>
    <s v="China"/>
    <s v="Chongqing"/>
    <s v=""/>
  </r>
  <r>
    <s v="E04484"/>
    <s v="Vivian Thao"/>
    <x v="10"/>
    <s v="Engineering"/>
    <s v="Research &amp; Development"/>
    <x v="0"/>
    <s v="Asian"/>
    <n v="45"/>
    <x v="0"/>
    <x v="731"/>
    <n v="2015"/>
    <n v="4"/>
    <n v="60017"/>
    <n v="0"/>
    <s v="United States"/>
    <s v="Chicago"/>
    <s v=""/>
  </r>
  <r>
    <s v="E02800"/>
    <s v="Eva Estrada"/>
    <x v="0"/>
    <s v="Sales"/>
    <s v="Speciality Products"/>
    <x v="0"/>
    <s v="Latino"/>
    <n v="45"/>
    <x v="0"/>
    <x v="732"/>
    <n v="2018"/>
    <n v="7"/>
    <n v="148991"/>
    <n v="0.12"/>
    <s v="Brazil"/>
    <s v="Sao Paulo"/>
    <s v=""/>
  </r>
  <r>
    <s v="E04926"/>
    <s v="Emma Luna"/>
    <x v="17"/>
    <s v="Engineering"/>
    <s v="Speciality Products"/>
    <x v="0"/>
    <s v="Latino"/>
    <n v="52"/>
    <x v="0"/>
    <x v="733"/>
    <n v="2008"/>
    <n v="3"/>
    <n v="97398"/>
    <n v="0"/>
    <s v="Brazil"/>
    <s v="Manaus"/>
    <s v=""/>
  </r>
  <r>
    <s v="E01268"/>
    <s v="Charlotte Wu"/>
    <x v="15"/>
    <s v="Human Resources"/>
    <s v="Manufacturing"/>
    <x v="0"/>
    <s v="Asian"/>
    <n v="63"/>
    <x v="2"/>
    <x v="734"/>
    <n v="2007"/>
    <n v="5"/>
    <n v="72805"/>
    <n v="0"/>
    <s v="China"/>
    <s v="Shanghai"/>
    <s v=""/>
  </r>
  <r>
    <s v="E04853"/>
    <s v="Vivian Chu"/>
    <x v="26"/>
    <s v="Sales"/>
    <s v="Research &amp; Development"/>
    <x v="0"/>
    <s v="Asian"/>
    <n v="46"/>
    <x v="0"/>
    <x v="735"/>
    <n v="2021"/>
    <n v="1"/>
    <n v="72131"/>
    <n v="0"/>
    <s v="China"/>
    <s v="Shanghai"/>
    <s v=""/>
  </r>
  <r>
    <s v="E01209"/>
    <s v="Jayden Williams"/>
    <x v="6"/>
    <s v="Human Resources"/>
    <s v="Manufacturing"/>
    <x v="1"/>
    <s v="Caucasian"/>
    <n v="64"/>
    <x v="2"/>
    <x v="736"/>
    <n v="1992"/>
    <n v="12"/>
    <n v="104668"/>
    <n v="0.08"/>
    <s v="United States"/>
    <s v="Columbus"/>
    <s v=""/>
  </r>
  <r>
    <s v="E02024"/>
    <s v="Amelia Bell"/>
    <x v="4"/>
    <s v="Sales"/>
    <s v="Manufacturing"/>
    <x v="0"/>
    <s v="Caucasian"/>
    <n v="53"/>
    <x v="0"/>
    <x v="660"/>
    <n v="2017"/>
    <n v="8"/>
    <n v="89769"/>
    <n v="0"/>
    <s v="United States"/>
    <s v="Seattle"/>
    <s v=""/>
  </r>
  <r>
    <s v="E02427"/>
    <s v="Addison Mehta"/>
    <x v="6"/>
    <s v="Sales"/>
    <s v="Corporate"/>
    <x v="0"/>
    <s v="Asian"/>
    <n v="27"/>
    <x v="1"/>
    <x v="737"/>
    <n v="2018"/>
    <n v="9"/>
    <n v="127616"/>
    <n v="7.0000000000000007E-2"/>
    <s v="United States"/>
    <s v="Columbus"/>
    <s v=""/>
  </r>
  <r>
    <s v="E00276"/>
    <s v="Alexander Jackson"/>
    <x v="6"/>
    <s v="Human Resources"/>
    <s v="Corporate"/>
    <x v="1"/>
    <s v="Caucasian"/>
    <n v="45"/>
    <x v="0"/>
    <x v="738"/>
    <n v="2012"/>
    <n v="7"/>
    <n v="109883"/>
    <n v="7.0000000000000007E-2"/>
    <s v="United States"/>
    <s v="Columbus"/>
    <s v=""/>
  </r>
  <r>
    <s v="E00951"/>
    <s v="Everly Lin"/>
    <x v="20"/>
    <s v="Human Resources"/>
    <s v="Manufacturing"/>
    <x v="0"/>
    <s v="Asian"/>
    <n v="25"/>
    <x v="1"/>
    <x v="739"/>
    <n v="2021"/>
    <n v="3"/>
    <n v="47974"/>
    <n v="0"/>
    <s v="China"/>
    <s v="Chongqing"/>
    <s v=""/>
  </r>
  <r>
    <s v="E03248"/>
    <s v="Lyla Stewart"/>
    <x v="0"/>
    <s v="IT"/>
    <s v="Speciality Products"/>
    <x v="0"/>
    <s v="Caucasian"/>
    <n v="43"/>
    <x v="0"/>
    <x v="740"/>
    <n v="2015"/>
    <n v="3"/>
    <n v="120321"/>
    <n v="0.12"/>
    <s v="United States"/>
    <s v="Austin"/>
    <s v=""/>
  </r>
  <r>
    <s v="E04444"/>
    <s v="Brooklyn Ruiz"/>
    <x v="12"/>
    <s v="IT"/>
    <s v="Manufacturing"/>
    <x v="0"/>
    <s v="Latino"/>
    <n v="61"/>
    <x v="2"/>
    <x v="741"/>
    <n v="2014"/>
    <n v="8"/>
    <n v="57446"/>
    <n v="0"/>
    <s v="United States"/>
    <s v="Phoenix"/>
    <s v=""/>
  </r>
  <r>
    <s v="E02307"/>
    <s v="Skylar Evans"/>
    <x v="2"/>
    <s v="Accounting"/>
    <s v="Research &amp; Development"/>
    <x v="0"/>
    <s v="Caucasian"/>
    <n v="42"/>
    <x v="0"/>
    <x v="742"/>
    <n v="2009"/>
    <n v="6"/>
    <n v="174099"/>
    <n v="0.26"/>
    <s v="United States"/>
    <s v="Austin"/>
    <s v=""/>
  </r>
  <r>
    <s v="E02375"/>
    <s v="Lincoln Huynh"/>
    <x v="0"/>
    <s v="Finance"/>
    <s v="Manufacturing"/>
    <x v="1"/>
    <s v="Asian"/>
    <n v="63"/>
    <x v="2"/>
    <x v="743"/>
    <n v="2002"/>
    <n v="2"/>
    <n v="128703"/>
    <n v="0.13"/>
    <s v="United States"/>
    <s v="Austin"/>
    <s v=""/>
  </r>
  <r>
    <s v="E02276"/>
    <s v="Hazel Griffin"/>
    <x v="17"/>
    <s v="Engineering"/>
    <s v="Corporate"/>
    <x v="0"/>
    <s v="Caucasian"/>
    <n v="32"/>
    <x v="0"/>
    <x v="744"/>
    <n v="2015"/>
    <n v="11"/>
    <n v="65247"/>
    <n v="0"/>
    <s v="United States"/>
    <s v="Phoenix"/>
    <s v=""/>
  </r>
  <r>
    <s v="E02649"/>
    <s v="Charles Gonzalez"/>
    <x v="10"/>
    <s v="Engineering"/>
    <s v="Research &amp; Development"/>
    <x v="1"/>
    <s v="Latino"/>
    <n v="27"/>
    <x v="1"/>
    <x v="745"/>
    <n v="2018"/>
    <n v="9"/>
    <n v="64247"/>
    <n v="0"/>
    <s v="Brazil"/>
    <s v="Rio de Janerio"/>
    <s v=""/>
  </r>
  <r>
    <s v="E00503"/>
    <s v="Leah Patterson"/>
    <x v="6"/>
    <s v="Human Resources"/>
    <s v="Research &amp; Development"/>
    <x v="0"/>
    <s v="Caucasian"/>
    <n v="33"/>
    <x v="0"/>
    <x v="280"/>
    <n v="2012"/>
    <n v="6"/>
    <n v="118253"/>
    <n v="0.08"/>
    <s v="United States"/>
    <s v="Austin"/>
    <s v=""/>
  </r>
  <r>
    <s v="E01706"/>
    <s v="Avery Sun"/>
    <x v="19"/>
    <s v="Engineering"/>
    <s v="Manufacturing"/>
    <x v="0"/>
    <s v="Asian"/>
    <n v="45"/>
    <x v="0"/>
    <x v="746"/>
    <n v="2004"/>
    <n v="3"/>
    <n v="109422"/>
    <n v="0"/>
    <s v="China"/>
    <s v="Chongqing"/>
    <s v=""/>
  </r>
  <r>
    <s v="E00676"/>
    <s v="Isaac Yoon"/>
    <x v="6"/>
    <s v="Human Resources"/>
    <s v="Corporate"/>
    <x v="1"/>
    <s v="Asian"/>
    <n v="41"/>
    <x v="0"/>
    <x v="747"/>
    <n v="2019"/>
    <n v="2"/>
    <n v="126950"/>
    <n v="0.1"/>
    <s v="United States"/>
    <s v="Chicago"/>
    <s v=""/>
  </r>
  <r>
    <s v="E02005"/>
    <s v="Isabella Bui"/>
    <x v="14"/>
    <s v="IT"/>
    <s v="Manufacturing"/>
    <x v="0"/>
    <s v="Asian"/>
    <n v="36"/>
    <x v="0"/>
    <x v="748"/>
    <n v="2014"/>
    <n v="11"/>
    <n v="97500"/>
    <n v="0"/>
    <s v="United States"/>
    <s v="Miami"/>
    <s v=""/>
  </r>
  <r>
    <s v="E01895"/>
    <s v="Gabriel Zhou"/>
    <x v="12"/>
    <s v="IT"/>
    <s v="Manufacturing"/>
    <x v="1"/>
    <s v="Asian"/>
    <n v="25"/>
    <x v="1"/>
    <x v="735"/>
    <n v="2021"/>
    <n v="1"/>
    <n v="41844"/>
    <n v="0"/>
    <s v="China"/>
    <s v="Chongqing"/>
    <s v=""/>
  </r>
  <r>
    <s v="E01396"/>
    <s v="Jack Vu"/>
    <x v="13"/>
    <s v="Accounting"/>
    <s v="Research &amp; Development"/>
    <x v="1"/>
    <s v="Asian"/>
    <n v="43"/>
    <x v="0"/>
    <x v="749"/>
    <n v="2014"/>
    <n v="2"/>
    <n v="58875"/>
    <n v="0"/>
    <s v="China"/>
    <s v="Chengdu"/>
    <s v=""/>
  </r>
  <r>
    <s v="E00749"/>
    <s v="Valentina Moua"/>
    <x v="5"/>
    <s v="Sales"/>
    <s v="Manufacturing"/>
    <x v="0"/>
    <s v="Asian"/>
    <n v="37"/>
    <x v="0"/>
    <x v="750"/>
    <n v="2015"/>
    <n v="11"/>
    <n v="64204"/>
    <n v="0"/>
    <s v="United States"/>
    <s v="Columbus"/>
    <d v="2021-04-20T00:00:00"/>
  </r>
  <r>
    <s v="E01941"/>
    <s v="Quinn Trinh"/>
    <x v="13"/>
    <s v="Sales"/>
    <s v="Corporate"/>
    <x v="0"/>
    <s v="Asian"/>
    <n v="42"/>
    <x v="0"/>
    <x v="751"/>
    <n v="2010"/>
    <n v="5"/>
    <n v="67743"/>
    <n v="0"/>
    <s v="China"/>
    <s v="Beijing"/>
    <d v="2014-12-25T00:00:00"/>
  </r>
  <r>
    <s v="E01413"/>
    <s v="Caroline Nelson"/>
    <x v="26"/>
    <s v="Sales"/>
    <s v="Speciality Products"/>
    <x v="0"/>
    <s v="Black"/>
    <n v="60"/>
    <x v="2"/>
    <x v="752"/>
    <n v="1997"/>
    <n v="7"/>
    <n v="71677"/>
    <n v="0"/>
    <s v="United States"/>
    <s v="Columbus"/>
    <s v=""/>
  </r>
  <r>
    <s v="E03928"/>
    <s v="Miles Dang"/>
    <x v="12"/>
    <s v="IT"/>
    <s v="Speciality Products"/>
    <x v="1"/>
    <s v="Asian"/>
    <n v="61"/>
    <x v="2"/>
    <x v="753"/>
    <n v="2000"/>
    <n v="9"/>
    <n v="40063"/>
    <n v="0"/>
    <s v="United States"/>
    <s v="Miami"/>
    <s v=""/>
  </r>
  <r>
    <s v="E04109"/>
    <s v="Leah Bryant"/>
    <x v="12"/>
    <s v="IT"/>
    <s v="Manufacturing"/>
    <x v="0"/>
    <s v="Caucasian"/>
    <n v="55"/>
    <x v="0"/>
    <x v="754"/>
    <n v="2004"/>
    <n v="4"/>
    <n v="40124"/>
    <n v="0"/>
    <s v="United States"/>
    <s v="Austin"/>
    <s v=""/>
  </r>
  <r>
    <s v="E03994"/>
    <s v="Henry Jung"/>
    <x v="18"/>
    <s v="Engineering"/>
    <s v="Manufacturing"/>
    <x v="1"/>
    <s v="Asian"/>
    <n v="57"/>
    <x v="0"/>
    <x v="755"/>
    <n v="2018"/>
    <n v="2"/>
    <n v="103183"/>
    <n v="0"/>
    <s v="United States"/>
    <s v="Austin"/>
    <d v="2021-07-09T00:00:00"/>
  </r>
  <r>
    <s v="E00639"/>
    <s v="Benjamin Mai"/>
    <x v="27"/>
    <s v="IT"/>
    <s v="Corporate"/>
    <x v="1"/>
    <s v="Asian"/>
    <n v="54"/>
    <x v="0"/>
    <x v="756"/>
    <n v="1998"/>
    <n v="6"/>
    <n v="95239"/>
    <n v="0"/>
    <s v="United States"/>
    <s v="Phoenix"/>
    <s v=""/>
  </r>
  <r>
    <s v="E00608"/>
    <s v="Anna Han"/>
    <x v="25"/>
    <s v="Engineering"/>
    <s v="Manufacturing"/>
    <x v="0"/>
    <s v="Asian"/>
    <n v="29"/>
    <x v="1"/>
    <x v="757"/>
    <n v="2019"/>
    <n v="11"/>
    <n v="75012"/>
    <n v="0"/>
    <s v="United States"/>
    <s v="Chicago"/>
    <s v=""/>
  </r>
  <r>
    <s v="E04189"/>
    <s v="Ariana Kim"/>
    <x v="23"/>
    <s v="IT"/>
    <s v="Manufacturing"/>
    <x v="0"/>
    <s v="Asian"/>
    <n v="33"/>
    <x v="0"/>
    <x v="758"/>
    <n v="2014"/>
    <n v="6"/>
    <n v="96366"/>
    <n v="0"/>
    <s v="China"/>
    <s v="Chengdu"/>
    <s v=""/>
  </r>
  <r>
    <s v="E02732"/>
    <s v="Alice Tran"/>
    <x v="7"/>
    <s v="Marketing"/>
    <s v="Corporate"/>
    <x v="0"/>
    <s v="Asian"/>
    <n v="39"/>
    <x v="0"/>
    <x v="759"/>
    <n v="2014"/>
    <n v="7"/>
    <n v="40897"/>
    <n v="0"/>
    <s v="United States"/>
    <s v="Seattle"/>
    <s v=""/>
  </r>
  <r>
    <s v="E00324"/>
    <s v="Hailey Song"/>
    <x v="6"/>
    <s v="Finance"/>
    <s v="Research &amp; Development"/>
    <x v="0"/>
    <s v="Asian"/>
    <n v="37"/>
    <x v="0"/>
    <x v="760"/>
    <n v="2016"/>
    <n v="8"/>
    <n v="124928"/>
    <n v="0.06"/>
    <s v="China"/>
    <s v="Chongqing"/>
    <s v=""/>
  </r>
  <r>
    <s v="E00518"/>
    <s v="Lydia Morales"/>
    <x v="6"/>
    <s v="Finance"/>
    <s v="Speciality Products"/>
    <x v="0"/>
    <s v="Latino"/>
    <n v="51"/>
    <x v="0"/>
    <x v="761"/>
    <n v="2013"/>
    <n v="6"/>
    <n v="108221"/>
    <n v="0.05"/>
    <s v="Brazil"/>
    <s v="Manaus"/>
    <s v=""/>
  </r>
  <r>
    <s v="E01286"/>
    <s v="Liam Sanders"/>
    <x v="15"/>
    <s v="Human Resources"/>
    <s v="Corporate"/>
    <x v="1"/>
    <s v="Caucasian"/>
    <n v="46"/>
    <x v="0"/>
    <x v="762"/>
    <n v="2007"/>
    <n v="2"/>
    <n v="75579"/>
    <n v="0"/>
    <s v="United States"/>
    <s v="Seattle"/>
    <s v=""/>
  </r>
  <r>
    <s v="E04564"/>
    <s v="Luke Sanchez"/>
    <x v="0"/>
    <s v="Human Resources"/>
    <s v="Manufacturing"/>
    <x v="1"/>
    <s v="Latino"/>
    <n v="41"/>
    <x v="0"/>
    <x v="763"/>
    <n v="2015"/>
    <n v="12"/>
    <n v="129903"/>
    <n v="0.13"/>
    <s v="Brazil"/>
    <s v="Sao Paulo"/>
    <s v=""/>
  </r>
  <r>
    <s v="E02033"/>
    <s v="Grace Sun"/>
    <x v="2"/>
    <s v="Finance"/>
    <s v="Research &amp; Development"/>
    <x v="0"/>
    <s v="Asian"/>
    <n v="25"/>
    <x v="1"/>
    <x v="441"/>
    <n v="2021"/>
    <n v="4"/>
    <n v="186870"/>
    <n v="0.2"/>
    <s v="China"/>
    <s v="Shanghai"/>
    <s v=""/>
  </r>
  <r>
    <s v="E00412"/>
    <s v="Ezra Banks"/>
    <x v="13"/>
    <s v="Sales"/>
    <s v="Research &amp; Development"/>
    <x v="1"/>
    <s v="Caucasian"/>
    <n v="37"/>
    <x v="0"/>
    <x v="764"/>
    <n v="2010"/>
    <n v="4"/>
    <n v="57531"/>
    <n v="0"/>
    <s v="United States"/>
    <s v="Chicago"/>
    <s v=""/>
  </r>
  <r>
    <s v="E01844"/>
    <s v="Jayden Kang"/>
    <x v="7"/>
    <s v="Finance"/>
    <s v="Research &amp; Development"/>
    <x v="1"/>
    <s v="Asian"/>
    <n v="46"/>
    <x v="0"/>
    <x v="765"/>
    <n v="2011"/>
    <n v="4"/>
    <n v="55894"/>
    <n v="0"/>
    <s v="United States"/>
    <s v="Seattle"/>
    <s v=""/>
  </r>
  <r>
    <s v="E00667"/>
    <s v="Skylar Shah"/>
    <x v="17"/>
    <s v="Engineering"/>
    <s v="Manufacturing"/>
    <x v="0"/>
    <s v="Asian"/>
    <n v="42"/>
    <x v="0"/>
    <x v="766"/>
    <n v="2012"/>
    <n v="4"/>
    <n v="72903"/>
    <n v="0"/>
    <s v="United States"/>
    <s v="Phoenix"/>
    <s v=""/>
  </r>
  <r>
    <s v="E02639"/>
    <s v="Sebastian Le"/>
    <x v="7"/>
    <s v="Finance"/>
    <s v="Corporate"/>
    <x v="1"/>
    <s v="Asian"/>
    <n v="37"/>
    <x v="0"/>
    <x v="744"/>
    <n v="2015"/>
    <n v="11"/>
    <n v="45369"/>
    <n v="0"/>
    <s v="China"/>
    <s v="Beijing"/>
    <s v=""/>
  </r>
  <r>
    <s v="E00287"/>
    <s v="Luca Nelson"/>
    <x v="6"/>
    <s v="Finance"/>
    <s v="Speciality Products"/>
    <x v="1"/>
    <s v="Caucasian"/>
    <n v="60"/>
    <x v="2"/>
    <x v="767"/>
    <n v="2010"/>
    <n v="6"/>
    <n v="106578"/>
    <n v="0.09"/>
    <s v="United States"/>
    <s v="Miami"/>
    <s v=""/>
  </r>
  <r>
    <s v="E02235"/>
    <s v="Riley Ramirez"/>
    <x v="15"/>
    <s v="Human Resources"/>
    <s v="Research &amp; Development"/>
    <x v="0"/>
    <s v="Latino"/>
    <n v="52"/>
    <x v="0"/>
    <x v="768"/>
    <n v="1999"/>
    <n v="9"/>
    <n v="92994"/>
    <n v="0"/>
    <s v="United States"/>
    <s v="Chicago"/>
    <s v=""/>
  </r>
  <r>
    <s v="E02720"/>
    <s v="Jaxon Fong"/>
    <x v="4"/>
    <s v="Sales"/>
    <s v="Speciality Products"/>
    <x v="1"/>
    <s v="Asian"/>
    <n v="59"/>
    <x v="0"/>
    <x v="769"/>
    <n v="1997"/>
    <n v="3"/>
    <n v="83685"/>
    <n v="0"/>
    <s v="China"/>
    <s v="Beijing"/>
    <s v=""/>
  </r>
  <r>
    <s v="E03583"/>
    <s v="Kayden Jordan"/>
    <x v="21"/>
    <s v="IT"/>
    <s v="Research &amp; Development"/>
    <x v="1"/>
    <s v="Caucasian"/>
    <n v="48"/>
    <x v="0"/>
    <x v="770"/>
    <n v="2010"/>
    <n v="9"/>
    <n v="99335"/>
    <n v="0"/>
    <s v="United States"/>
    <s v="Phoenix"/>
    <s v=""/>
  </r>
  <r>
    <s v="E01188"/>
    <s v="Alexander James"/>
    <x v="0"/>
    <s v="Human Resources"/>
    <s v="Manufacturing"/>
    <x v="1"/>
    <s v="Caucasian"/>
    <n v="42"/>
    <x v="0"/>
    <x v="771"/>
    <n v="2013"/>
    <n v="4"/>
    <n v="131179"/>
    <n v="0.15"/>
    <s v="United States"/>
    <s v="Columbus"/>
    <s v=""/>
  </r>
  <r>
    <s v="E02428"/>
    <s v="Connor Luu"/>
    <x v="3"/>
    <s v="IT"/>
    <s v="Speciality Products"/>
    <x v="1"/>
    <s v="Asian"/>
    <n v="35"/>
    <x v="0"/>
    <x v="772"/>
    <n v="2016"/>
    <n v="5"/>
    <n v="73899"/>
    <n v="0.05"/>
    <s v="China"/>
    <s v="Chengdu"/>
    <s v=""/>
  </r>
  <r>
    <s v="E03289"/>
    <s v="Christopher Lam"/>
    <x v="9"/>
    <s v="Accounting"/>
    <s v="Manufacturing"/>
    <x v="1"/>
    <s v="Asian"/>
    <n v="64"/>
    <x v="2"/>
    <x v="773"/>
    <n v="2013"/>
    <n v="3"/>
    <n v="252325"/>
    <n v="0.4"/>
    <s v="United States"/>
    <s v="Columbus"/>
    <s v=""/>
  </r>
  <r>
    <s v="E01947"/>
    <s v="Sophie Owens"/>
    <x v="13"/>
    <s v="Finance"/>
    <s v="Research &amp; Development"/>
    <x v="0"/>
    <s v="Caucasian"/>
    <n v="30"/>
    <x v="0"/>
    <x v="774"/>
    <n v="2015"/>
    <n v="3"/>
    <n v="52697"/>
    <n v="0"/>
    <s v="United States"/>
    <s v="Seattle"/>
    <s v=""/>
  </r>
  <r>
    <s v="E02024"/>
    <s v="Addison Perez"/>
    <x v="19"/>
    <s v="Engineering"/>
    <s v="Speciality Products"/>
    <x v="0"/>
    <s v="Latino"/>
    <n v="29"/>
    <x v="1"/>
    <x v="775"/>
    <n v="2020"/>
    <n v="9"/>
    <n v="123588"/>
    <n v="0"/>
    <s v="Brazil"/>
    <s v="Sao Paulo"/>
    <s v=""/>
  </r>
  <r>
    <s v="E04249"/>
    <s v="Hadley Dang"/>
    <x v="9"/>
    <s v="Accounting"/>
    <s v="Corporate"/>
    <x v="0"/>
    <s v="Asian"/>
    <n v="47"/>
    <x v="0"/>
    <x v="205"/>
    <n v="2021"/>
    <n v="12"/>
    <n v="243568"/>
    <n v="0.33"/>
    <s v="United States"/>
    <s v="Austin"/>
    <s v=""/>
  </r>
  <r>
    <s v="E01090"/>
    <s v="Ethan Mehta"/>
    <x v="2"/>
    <s v="Sales"/>
    <s v="Research &amp; Development"/>
    <x v="1"/>
    <s v="Asian"/>
    <n v="49"/>
    <x v="0"/>
    <x v="776"/>
    <n v="2001"/>
    <n v="7"/>
    <n v="199176"/>
    <n v="0.24"/>
    <s v="United States"/>
    <s v="Phoenix"/>
    <s v=""/>
  </r>
  <r>
    <s v="E03830"/>
    <s v="Madison Her"/>
    <x v="1"/>
    <s v="IT"/>
    <s v="Speciality Products"/>
    <x v="0"/>
    <s v="Asian"/>
    <n v="56"/>
    <x v="0"/>
    <x v="777"/>
    <n v="1996"/>
    <n v="6"/>
    <n v="82806"/>
    <n v="0"/>
    <s v="United States"/>
    <s v="Seattle"/>
    <s v=""/>
  </r>
  <r>
    <s v="E04363"/>
    <s v="Savannah Singh"/>
    <x v="2"/>
    <s v="Marketing"/>
    <s v="Speciality Products"/>
    <x v="0"/>
    <s v="Asian"/>
    <n v="53"/>
    <x v="0"/>
    <x v="778"/>
    <n v="1997"/>
    <n v="6"/>
    <n v="164399"/>
    <n v="0.25"/>
    <s v="United States"/>
    <s v="Seattle"/>
    <s v=""/>
  </r>
  <r>
    <s v="E04920"/>
    <s v="Nevaeh Hsu"/>
    <x v="0"/>
    <s v="Human Resources"/>
    <s v="Manufacturing"/>
    <x v="0"/>
    <s v="Asian"/>
    <n v="32"/>
    <x v="0"/>
    <x v="779"/>
    <n v="2017"/>
    <n v="4"/>
    <n v="154956"/>
    <n v="0.13"/>
    <s v="United States"/>
    <s v="Phoenix"/>
    <s v=""/>
  </r>
  <r>
    <s v="E03866"/>
    <s v="Jordan Zhu"/>
    <x v="0"/>
    <s v="Marketing"/>
    <s v="Manufacturing"/>
    <x v="1"/>
    <s v="Asian"/>
    <n v="32"/>
    <x v="0"/>
    <x v="780"/>
    <n v="2017"/>
    <n v="1"/>
    <n v="143970"/>
    <n v="0.12"/>
    <s v="United States"/>
    <s v="Seattle"/>
    <d v="2017-12-09T00:00:00"/>
  </r>
  <r>
    <s v="E03521"/>
    <s v="Jackson Navarro"/>
    <x v="2"/>
    <s v="Sales"/>
    <s v="Corporate"/>
    <x v="1"/>
    <s v="Latino"/>
    <n v="52"/>
    <x v="0"/>
    <x v="775"/>
    <n v="2020"/>
    <n v="9"/>
    <n v="163143"/>
    <n v="0.28000000000000003"/>
    <s v="Brazil"/>
    <s v="Sao Paulo"/>
    <s v=""/>
  </r>
  <r>
    <s v="E04095"/>
    <s v="Sadie Patterson"/>
    <x v="4"/>
    <s v="Accounting"/>
    <s v="Speciality Products"/>
    <x v="0"/>
    <s v="Caucasian"/>
    <n v="38"/>
    <x v="0"/>
    <x v="154"/>
    <n v="2020"/>
    <n v="7"/>
    <n v="89390"/>
    <n v="0"/>
    <s v="United States"/>
    <s v="Seattle"/>
    <s v=""/>
  </r>
  <r>
    <s v="E04079"/>
    <s v="Christopher Butler"/>
    <x v="23"/>
    <s v="IT"/>
    <s v="Manufacturing"/>
    <x v="1"/>
    <s v="Caucasian"/>
    <n v="41"/>
    <x v="0"/>
    <x v="781"/>
    <n v="2017"/>
    <n v="10"/>
    <n v="67468"/>
    <n v="0"/>
    <s v="United States"/>
    <s v="Miami"/>
    <s v=""/>
  </r>
  <r>
    <s v="E01508"/>
    <s v="Penelope Rodriguez"/>
    <x v="11"/>
    <s v="Engineering"/>
    <s v="Manufacturing"/>
    <x v="0"/>
    <s v="Latino"/>
    <n v="49"/>
    <x v="0"/>
    <x v="782"/>
    <n v="2016"/>
    <n v="3"/>
    <n v="100810"/>
    <n v="0.12"/>
    <s v="Brazil"/>
    <s v="Rio de Janerio"/>
    <s v=""/>
  </r>
  <r>
    <s v="E02259"/>
    <s v="Emily Lau"/>
    <x v="4"/>
    <s v="Finance"/>
    <s v="Manufacturing"/>
    <x v="0"/>
    <s v="Asian"/>
    <n v="35"/>
    <x v="0"/>
    <x v="363"/>
    <n v="2019"/>
    <n v="3"/>
    <n v="74779"/>
    <n v="0"/>
    <s v="United States"/>
    <s v="Phoenix"/>
    <s v=""/>
  </r>
  <r>
    <s v="E04972"/>
    <s v="Sophie Oh"/>
    <x v="24"/>
    <s v="IT"/>
    <s v="Corporate"/>
    <x v="0"/>
    <s v="Asian"/>
    <n v="29"/>
    <x v="1"/>
    <x v="783"/>
    <n v="2017"/>
    <n v="11"/>
    <n v="63985"/>
    <n v="0"/>
    <s v="United States"/>
    <s v="Miami"/>
    <s v=""/>
  </r>
  <r>
    <s v="E01834"/>
    <s v="Chloe Allen"/>
    <x v="29"/>
    <s v="IT"/>
    <s v="Manufacturing"/>
    <x v="0"/>
    <s v="Caucasian"/>
    <n v="64"/>
    <x v="2"/>
    <x v="784"/>
    <n v="2004"/>
    <n v="7"/>
    <n v="77903"/>
    <n v="0"/>
    <s v="United States"/>
    <s v="Seattle"/>
    <s v=""/>
  </r>
  <r>
    <s v="E03124"/>
    <s v="Caleb Nelson"/>
    <x v="2"/>
    <s v="Marketing"/>
    <s v="Corporate"/>
    <x v="1"/>
    <s v="Caucasian"/>
    <n v="33"/>
    <x v="0"/>
    <x v="785"/>
    <n v="2017"/>
    <n v="6"/>
    <n v="164396"/>
    <n v="0.28999999999999998"/>
    <s v="United States"/>
    <s v="Columbus"/>
    <s v=""/>
  </r>
  <r>
    <s v="E01898"/>
    <s v="Oliver Moua"/>
    <x v="30"/>
    <s v="IT"/>
    <s v="Corporate"/>
    <x v="1"/>
    <s v="Asian"/>
    <n v="29"/>
    <x v="1"/>
    <x v="786"/>
    <n v="2021"/>
    <n v="6"/>
    <n v="71234"/>
    <n v="0"/>
    <s v="United States"/>
    <s v="Seattle"/>
    <s v=""/>
  </r>
  <r>
    <s v="E00342"/>
    <s v="Wesley Doan"/>
    <x v="6"/>
    <s v="Finance"/>
    <s v="Corporate"/>
    <x v="1"/>
    <s v="Asian"/>
    <n v="63"/>
    <x v="2"/>
    <x v="787"/>
    <n v="2004"/>
    <n v="4"/>
    <n v="122487"/>
    <n v="0.08"/>
    <s v="China"/>
    <s v="Shanghai"/>
    <s v=""/>
  </r>
  <r>
    <s v="E03910"/>
    <s v="Nova Hsu"/>
    <x v="6"/>
    <s v="Human Resources"/>
    <s v="Speciality Products"/>
    <x v="0"/>
    <s v="Asian"/>
    <n v="32"/>
    <x v="0"/>
    <x v="788"/>
    <n v="2017"/>
    <n v="1"/>
    <n v="101870"/>
    <n v="0.1"/>
    <s v="United States"/>
    <s v="Phoenix"/>
    <s v=""/>
  </r>
  <r>
    <s v="E00862"/>
    <s v="Levi Moreno"/>
    <x v="28"/>
    <s v="IT"/>
    <s v="Research &amp; Development"/>
    <x v="1"/>
    <s v="Latino"/>
    <n v="64"/>
    <x v="2"/>
    <x v="789"/>
    <n v="2020"/>
    <n v="6"/>
    <n v="40316"/>
    <n v="0"/>
    <s v="Brazil"/>
    <s v="Manaus"/>
    <s v=""/>
  </r>
  <r>
    <s v="E02576"/>
    <s v="Gianna Ha"/>
    <x v="6"/>
    <s v="IT"/>
    <s v="Research &amp; Development"/>
    <x v="0"/>
    <s v="Asian"/>
    <n v="55"/>
    <x v="0"/>
    <x v="790"/>
    <n v="2005"/>
    <n v="2"/>
    <n v="115145"/>
    <n v="0.05"/>
    <s v="China"/>
    <s v="Chongqing"/>
    <s v=""/>
  </r>
  <r>
    <s v="E00035"/>
    <s v="Lillian Gonzales"/>
    <x v="21"/>
    <s v="IT"/>
    <s v="Manufacturing"/>
    <x v="0"/>
    <s v="Latino"/>
    <n v="43"/>
    <x v="0"/>
    <x v="791"/>
    <n v="2009"/>
    <n v="3"/>
    <n v="62335"/>
    <n v="0"/>
    <s v="Brazil"/>
    <s v="Manaus"/>
    <s v=""/>
  </r>
  <r>
    <s v="E01832"/>
    <s v="Ezra Singh"/>
    <x v="7"/>
    <s v="Finance"/>
    <s v="Manufacturing"/>
    <x v="1"/>
    <s v="Asian"/>
    <n v="56"/>
    <x v="0"/>
    <x v="792"/>
    <n v="2006"/>
    <n v="5"/>
    <n v="41561"/>
    <n v="0"/>
    <s v="United States"/>
    <s v="Austin"/>
    <s v=""/>
  </r>
  <r>
    <s v="E01755"/>
    <s v="Audrey Patel"/>
    <x v="0"/>
    <s v="Finance"/>
    <s v="Speciality Products"/>
    <x v="0"/>
    <s v="Asian"/>
    <n v="37"/>
    <x v="0"/>
    <x v="765"/>
    <n v="2011"/>
    <n v="4"/>
    <n v="131183"/>
    <n v="0.14000000000000001"/>
    <s v="China"/>
    <s v="Shanghai"/>
    <d v="2016-03-16T00:00:00"/>
  </r>
  <r>
    <s v="E00465"/>
    <s v="Brooklyn Cho"/>
    <x v="1"/>
    <s v="IT"/>
    <s v="Manufacturing"/>
    <x v="0"/>
    <s v="Asian"/>
    <n v="45"/>
    <x v="0"/>
    <x v="793"/>
    <n v="2002"/>
    <n v="7"/>
    <n v="92655"/>
    <n v="0"/>
    <s v="China"/>
    <s v="Chengdu"/>
    <s v=""/>
  </r>
  <r>
    <s v="E02391"/>
    <s v="Piper Ramos"/>
    <x v="0"/>
    <s v="Sales"/>
    <s v="Manufacturing"/>
    <x v="0"/>
    <s v="Latino"/>
    <n v="49"/>
    <x v="0"/>
    <x v="794"/>
    <n v="1996"/>
    <n v="4"/>
    <n v="157057"/>
    <n v="0.12"/>
    <s v="United States"/>
    <s v="Miami"/>
    <s v=""/>
  </r>
  <r>
    <s v="E04697"/>
    <s v="Eleanor Williams"/>
    <x v="14"/>
    <s v="IT"/>
    <s v="Speciality Products"/>
    <x v="0"/>
    <s v="Caucasian"/>
    <n v="61"/>
    <x v="2"/>
    <x v="795"/>
    <n v="2005"/>
    <n v="2"/>
    <n v="64462"/>
    <n v="0"/>
    <s v="United States"/>
    <s v="Chicago"/>
    <s v=""/>
  </r>
  <r>
    <s v="E00371"/>
    <s v="Melody Grant"/>
    <x v="10"/>
    <s v="Engineering"/>
    <s v="Corporate"/>
    <x v="0"/>
    <s v="Caucasian"/>
    <n v="41"/>
    <x v="0"/>
    <x v="796"/>
    <n v="2005"/>
    <n v="10"/>
    <n v="79352"/>
    <n v="0"/>
    <s v="United States"/>
    <s v="Seattle"/>
    <s v=""/>
  </r>
  <r>
    <s v="E02992"/>
    <s v="Paisley Sanders"/>
    <x v="0"/>
    <s v="Marketing"/>
    <s v="Speciality Products"/>
    <x v="0"/>
    <s v="Caucasian"/>
    <n v="55"/>
    <x v="0"/>
    <x v="797"/>
    <n v="2001"/>
    <n v="3"/>
    <n v="157812"/>
    <n v="0.11"/>
    <s v="United States"/>
    <s v="Miami"/>
    <s v=""/>
  </r>
  <r>
    <s v="E04369"/>
    <s v="Santiago f Gray"/>
    <x v="10"/>
    <s v="Engineering"/>
    <s v="Corporate"/>
    <x v="1"/>
    <s v="Caucasian"/>
    <n v="27"/>
    <x v="1"/>
    <x v="798"/>
    <n v="2018"/>
    <n v="9"/>
    <n v="80745"/>
    <n v="0"/>
    <s v="United States"/>
    <s v="Chicago"/>
    <s v=""/>
  </r>
  <r>
    <s v="E00592"/>
    <s v="Josephine Richardson"/>
    <x v="27"/>
    <s v="IT"/>
    <s v="Manufacturing"/>
    <x v="0"/>
    <s v="Caucasian"/>
    <n v="57"/>
    <x v="0"/>
    <x v="799"/>
    <n v="1996"/>
    <n v="2"/>
    <n v="75354"/>
    <n v="0"/>
    <s v="United States"/>
    <s v="Austin"/>
    <d v="1996-12-14T00:00:00"/>
  </r>
  <r>
    <s v="E03532"/>
    <s v="Jaxson Santiago"/>
    <x v="11"/>
    <s v="Engineering"/>
    <s v="Research &amp; Development"/>
    <x v="1"/>
    <s v="Latino"/>
    <n v="56"/>
    <x v="0"/>
    <x v="800"/>
    <n v="2018"/>
    <n v="9"/>
    <n v="78938"/>
    <n v="0.14000000000000001"/>
    <s v="United States"/>
    <s v="Phoenix"/>
    <s v=""/>
  </r>
  <r>
    <s v="E00863"/>
    <s v="Lincoln Ramos"/>
    <x v="19"/>
    <s v="Engineering"/>
    <s v="Corporate"/>
    <x v="1"/>
    <s v="Latino"/>
    <n v="59"/>
    <x v="0"/>
    <x v="801"/>
    <n v="2008"/>
    <n v="9"/>
    <n v="96313"/>
    <n v="0"/>
    <s v="United States"/>
    <s v="Austin"/>
    <s v=""/>
  </r>
  <r>
    <s v="E03310"/>
    <s v="Dylan Campbell"/>
    <x v="2"/>
    <s v="Engineering"/>
    <s v="Speciality Products"/>
    <x v="1"/>
    <s v="Caucasian"/>
    <n v="45"/>
    <x v="0"/>
    <x v="802"/>
    <n v="2010"/>
    <n v="11"/>
    <n v="153767"/>
    <n v="0.27"/>
    <s v="United States"/>
    <s v="Phoenix"/>
    <s v=""/>
  </r>
  <r>
    <s v="E01883"/>
    <s v="Olivia Gray"/>
    <x v="6"/>
    <s v="Marketing"/>
    <s v="Research &amp; Development"/>
    <x v="0"/>
    <s v="Black"/>
    <n v="42"/>
    <x v="0"/>
    <x v="301"/>
    <n v="2015"/>
    <n v="9"/>
    <n v="103423"/>
    <n v="0.06"/>
    <s v="United States"/>
    <s v="Columbus"/>
    <s v=""/>
  </r>
  <r>
    <s v="E01242"/>
    <s v="Emery Doan"/>
    <x v="8"/>
    <s v="Engineering"/>
    <s v="Corporate"/>
    <x v="0"/>
    <s v="Asian"/>
    <n v="25"/>
    <x v="1"/>
    <x v="803"/>
    <n v="2021"/>
    <n v="6"/>
    <n v="86464"/>
    <n v="0"/>
    <s v="China"/>
    <s v="Shanghai"/>
    <s v=""/>
  </r>
  <r>
    <s v="E02535"/>
    <s v="Caroline Perez"/>
    <x v="8"/>
    <s v="Engineering"/>
    <s v="Corporate"/>
    <x v="0"/>
    <s v="Latino"/>
    <n v="29"/>
    <x v="1"/>
    <x v="804"/>
    <n v="2018"/>
    <n v="1"/>
    <n v="80516"/>
    <n v="0"/>
    <s v="Brazil"/>
    <s v="Sao Paulo"/>
    <s v=""/>
  </r>
  <r>
    <s v="E00369"/>
    <s v="Genesis Woods"/>
    <x v="6"/>
    <s v="Human Resources"/>
    <s v="Speciality Products"/>
    <x v="0"/>
    <s v="Black"/>
    <n v="33"/>
    <x v="0"/>
    <x v="805"/>
    <n v="2013"/>
    <n v="8"/>
    <n v="105390"/>
    <n v="0.06"/>
    <s v="United States"/>
    <s v="Columbus"/>
    <s v=""/>
  </r>
  <r>
    <s v="E03332"/>
    <s v="Ruby Sun"/>
    <x v="21"/>
    <s v="IT"/>
    <s v="Manufacturing"/>
    <x v="0"/>
    <s v="Asian"/>
    <n v="50"/>
    <x v="0"/>
    <x v="806"/>
    <n v="2021"/>
    <n v="9"/>
    <n v="83418"/>
    <n v="0"/>
    <s v="China"/>
    <s v="Shanghai"/>
    <s v=""/>
  </r>
  <r>
    <s v="E03278"/>
    <s v="Nevaeh James"/>
    <x v="29"/>
    <s v="IT"/>
    <s v="Speciality Products"/>
    <x v="0"/>
    <s v="Caucasian"/>
    <n v="45"/>
    <x v="0"/>
    <x v="807"/>
    <n v="2017"/>
    <n v="11"/>
    <n v="66660"/>
    <n v="0"/>
    <s v="United States"/>
    <s v="Austin"/>
    <s v=""/>
  </r>
  <r>
    <s v="E02492"/>
    <s v="Parker Sandoval"/>
    <x v="6"/>
    <s v="Human Resources"/>
    <s v="Speciality Products"/>
    <x v="1"/>
    <s v="Latino"/>
    <n v="59"/>
    <x v="0"/>
    <x v="808"/>
    <n v="2015"/>
    <n v="6"/>
    <n v="101985"/>
    <n v="7.0000000000000007E-2"/>
    <s v="United States"/>
    <s v="Miami"/>
    <s v=""/>
  </r>
  <r>
    <s v="E03055"/>
    <s v="Austin Rojas"/>
    <x v="9"/>
    <s v="Finance"/>
    <s v="Corporate"/>
    <x v="1"/>
    <s v="Latino"/>
    <n v="29"/>
    <x v="1"/>
    <x v="809"/>
    <n v="2018"/>
    <n v="12"/>
    <n v="199504"/>
    <n v="0.3"/>
    <s v="United States"/>
    <s v="Austin"/>
    <s v=""/>
  </r>
  <r>
    <s v="E01943"/>
    <s v="Vivian Espinoza"/>
    <x v="0"/>
    <s v="Sales"/>
    <s v="Corporate"/>
    <x v="0"/>
    <s v="Latino"/>
    <n v="52"/>
    <x v="0"/>
    <x v="810"/>
    <n v="2006"/>
    <n v="10"/>
    <n v="147966"/>
    <n v="0.11"/>
    <s v="Brazil"/>
    <s v="Rio de Janerio"/>
    <d v="2019-05-23T00:00:00"/>
  </r>
  <r>
    <s v="E01388"/>
    <s v="Cooper Gupta"/>
    <x v="20"/>
    <s v="Human Resources"/>
    <s v="Speciality Products"/>
    <x v="1"/>
    <s v="Asian"/>
    <n v="58"/>
    <x v="0"/>
    <x v="811"/>
    <n v="2014"/>
    <n v="6"/>
    <n v="41728"/>
    <n v="0"/>
    <s v="China"/>
    <s v="Chongqing"/>
    <s v=""/>
  </r>
  <r>
    <s v="E00717"/>
    <s v="Axel Santos"/>
    <x v="4"/>
    <s v="Accounting"/>
    <s v="Speciality Products"/>
    <x v="1"/>
    <s v="Latino"/>
    <n v="62"/>
    <x v="2"/>
    <x v="812"/>
    <n v="2011"/>
    <n v="2"/>
    <n v="94422"/>
    <n v="0"/>
    <s v="United States"/>
    <s v="Phoenix"/>
    <s v=""/>
  </r>
  <r>
    <s v="E04637"/>
    <s v="Samuel Song"/>
    <x v="2"/>
    <s v="Sales"/>
    <s v="Corporate"/>
    <x v="1"/>
    <s v="Asian"/>
    <n v="31"/>
    <x v="0"/>
    <x v="813"/>
    <n v="2015"/>
    <n v="6"/>
    <n v="191026"/>
    <n v="0.16"/>
    <s v="United States"/>
    <s v="Columbus"/>
    <s v=""/>
  </r>
  <r>
    <s v="E03240"/>
    <s v="Aiden Silva"/>
    <x v="9"/>
    <s v="IT"/>
    <s v="Research &amp; Development"/>
    <x v="1"/>
    <s v="Latino"/>
    <n v="42"/>
    <x v="0"/>
    <x v="802"/>
    <n v="2010"/>
    <n v="11"/>
    <n v="186725"/>
    <n v="0.32"/>
    <s v="Brazil"/>
    <s v="Manaus"/>
    <s v=""/>
  </r>
  <r>
    <s v="E00340"/>
    <s v="Eliana Allen"/>
    <x v="20"/>
    <s v="Human Resources"/>
    <s v="Research &amp; Development"/>
    <x v="0"/>
    <s v="Caucasian"/>
    <n v="56"/>
    <x v="0"/>
    <x v="814"/>
    <n v="2009"/>
    <n v="8"/>
    <n v="52800"/>
    <n v="0"/>
    <s v="United States"/>
    <s v="Phoenix"/>
    <s v=""/>
  </r>
  <r>
    <s v="E04751"/>
    <s v="Grayson James"/>
    <x v="19"/>
    <s v="Engineering"/>
    <s v="Speciality Products"/>
    <x v="1"/>
    <s v="Caucasian"/>
    <n v="54"/>
    <x v="0"/>
    <x v="815"/>
    <n v="2010"/>
    <n v="12"/>
    <n v="113982"/>
    <n v="0"/>
    <s v="United States"/>
    <s v="Seattle"/>
    <s v=""/>
  </r>
  <r>
    <s v="E04636"/>
    <s v="Hailey Yee"/>
    <x v="5"/>
    <s v="Sales"/>
    <s v="Research &amp; Development"/>
    <x v="0"/>
    <s v="Asian"/>
    <n v="54"/>
    <x v="0"/>
    <x v="816"/>
    <n v="2021"/>
    <n v="3"/>
    <n v="56239"/>
    <n v="0"/>
    <s v="China"/>
    <s v="Chongqing"/>
    <s v=""/>
  </r>
  <r>
    <s v="E00568"/>
    <s v="Ian Vargas"/>
    <x v="7"/>
    <s v="Sales"/>
    <s v="Manufacturing"/>
    <x v="1"/>
    <s v="Latino"/>
    <n v="26"/>
    <x v="1"/>
    <x v="817"/>
    <n v="2021"/>
    <n v="3"/>
    <n v="44732"/>
    <n v="0"/>
    <s v="Brazil"/>
    <s v="Rio de Janerio"/>
    <s v=""/>
  </r>
  <r>
    <s v="E02938"/>
    <s v="John Trinh"/>
    <x v="2"/>
    <s v="Marketing"/>
    <s v="Corporate"/>
    <x v="1"/>
    <s v="Asian"/>
    <n v="49"/>
    <x v="0"/>
    <x v="818"/>
    <n v="2014"/>
    <n v="6"/>
    <n v="153961"/>
    <n v="0.25"/>
    <s v="China"/>
    <s v="Shanghai"/>
    <s v=""/>
  </r>
  <r>
    <s v="E00555"/>
    <s v="Sofia Trinh"/>
    <x v="23"/>
    <s v="IT"/>
    <s v="Speciality Products"/>
    <x v="0"/>
    <s v="Asian"/>
    <n v="45"/>
    <x v="0"/>
    <x v="819"/>
    <n v="2006"/>
    <n v="12"/>
    <n v="68337"/>
    <n v="0"/>
    <s v="China"/>
    <s v="Chongqing"/>
    <s v=""/>
  </r>
  <r>
    <s v="E01111"/>
    <s v="Santiago f Moua"/>
    <x v="0"/>
    <s v="Human Resources"/>
    <s v="Corporate"/>
    <x v="1"/>
    <s v="Asian"/>
    <n v="45"/>
    <x v="0"/>
    <x v="820"/>
    <n v="2010"/>
    <n v="5"/>
    <n v="145093"/>
    <n v="0.12"/>
    <s v="United States"/>
    <s v="Chicago"/>
    <s v=""/>
  </r>
  <r>
    <s v="E03149"/>
    <s v="Layla Collins"/>
    <x v="30"/>
    <s v="IT"/>
    <s v="Speciality Products"/>
    <x v="0"/>
    <s v="Caucasian"/>
    <n v="26"/>
    <x v="1"/>
    <x v="59"/>
    <n v="2021"/>
    <n v="3"/>
    <n v="74170"/>
    <n v="0"/>
    <s v="United States"/>
    <s v="Austin"/>
    <s v=""/>
  </r>
  <r>
    <s v="E00952"/>
    <s v="Jaxon Powell"/>
    <x v="17"/>
    <s v="Engineering"/>
    <s v="Research &amp; Development"/>
    <x v="1"/>
    <s v="Caucasian"/>
    <n v="59"/>
    <x v="0"/>
    <x v="821"/>
    <n v="1996"/>
    <n v="3"/>
    <n v="62605"/>
    <n v="0"/>
    <s v="United States"/>
    <s v="Austin"/>
    <s v=""/>
  </r>
  <r>
    <s v="E04380"/>
    <s v="Naomi Washington"/>
    <x v="6"/>
    <s v="IT"/>
    <s v="Speciality Products"/>
    <x v="0"/>
    <s v="Caucasian"/>
    <n v="51"/>
    <x v="0"/>
    <x v="822"/>
    <n v="2020"/>
    <n v="3"/>
    <n v="107195"/>
    <n v="0.09"/>
    <s v="United States"/>
    <s v="Austin"/>
    <s v=""/>
  </r>
  <r>
    <s v="E04095"/>
    <s v="Ryan Holmes"/>
    <x v="0"/>
    <s v="Marketing"/>
    <s v="Speciality Products"/>
    <x v="1"/>
    <s v="Caucasian"/>
    <n v="45"/>
    <x v="0"/>
    <x v="823"/>
    <n v="2018"/>
    <n v="1"/>
    <n v="127422"/>
    <n v="0.15"/>
    <s v="United States"/>
    <s v="Columbus"/>
    <s v=""/>
  </r>
  <r>
    <s v="E04994"/>
    <s v="Bella Holmes"/>
    <x v="2"/>
    <s v="Accounting"/>
    <s v="Research &amp; Development"/>
    <x v="0"/>
    <s v="Caucasian"/>
    <n v="35"/>
    <x v="0"/>
    <x v="824"/>
    <n v="2017"/>
    <n v="6"/>
    <n v="161269"/>
    <n v="0.27"/>
    <s v="United States"/>
    <s v="Miami"/>
    <s v=""/>
  </r>
  <r>
    <s v="E00447"/>
    <s v="Hailey Sanchez"/>
    <x v="9"/>
    <s v="Marketing"/>
    <s v="Corporate"/>
    <x v="0"/>
    <s v="Latino"/>
    <n v="32"/>
    <x v="0"/>
    <x v="825"/>
    <n v="2014"/>
    <n v="2"/>
    <n v="203445"/>
    <n v="0.34"/>
    <s v="Brazil"/>
    <s v="Manaus"/>
    <s v=""/>
  </r>
  <r>
    <s v="E00089"/>
    <s v="Sofia Yoon"/>
    <x v="0"/>
    <s v="Human Resources"/>
    <s v="Research &amp; Development"/>
    <x v="0"/>
    <s v="Asian"/>
    <n v="37"/>
    <x v="0"/>
    <x v="826"/>
    <n v="2011"/>
    <n v="1"/>
    <n v="131353"/>
    <n v="0.11"/>
    <s v="China"/>
    <s v="Shanghai"/>
    <s v=""/>
  </r>
  <r>
    <s v="E02035"/>
    <s v="Eli Rahman"/>
    <x v="31"/>
    <s v="IT"/>
    <s v="Manufacturing"/>
    <x v="1"/>
    <s v="Asian"/>
    <n v="45"/>
    <x v="0"/>
    <x v="827"/>
    <n v="2010"/>
    <n v="3"/>
    <n v="88182"/>
    <n v="0"/>
    <s v="China"/>
    <s v="Chengdu"/>
    <s v=""/>
  </r>
  <r>
    <s v="E03595"/>
    <s v="Christopher Howard"/>
    <x v="14"/>
    <s v="IT"/>
    <s v="Speciality Products"/>
    <x v="1"/>
    <s v="Caucasian"/>
    <n v="61"/>
    <x v="2"/>
    <x v="828"/>
    <n v="2019"/>
    <n v="8"/>
    <n v="75780"/>
    <n v="0"/>
    <s v="United States"/>
    <s v="Seattle"/>
    <s v=""/>
  </r>
  <r>
    <s v="E03611"/>
    <s v="Alice Mehta"/>
    <x v="13"/>
    <s v="Sales"/>
    <s v="Research &amp; Development"/>
    <x v="0"/>
    <s v="Asian"/>
    <n v="45"/>
    <x v="0"/>
    <x v="829"/>
    <n v="2019"/>
    <n v="4"/>
    <n v="52621"/>
    <n v="0"/>
    <s v="China"/>
    <s v="Beijing"/>
    <s v=""/>
  </r>
  <r>
    <s v="E04464"/>
    <s v="Cooper Yoon"/>
    <x v="11"/>
    <s v="Engineering"/>
    <s v="Research &amp; Development"/>
    <x v="1"/>
    <s v="Asian"/>
    <n v="60"/>
    <x v="2"/>
    <x v="830"/>
    <n v="2018"/>
    <n v="2"/>
    <n v="106079"/>
    <n v="0.14000000000000001"/>
    <s v="United States"/>
    <s v="Austin"/>
    <d v="2021-04-09T00:00:00"/>
  </r>
  <r>
    <s v="E02135"/>
    <s v="John Delgado"/>
    <x v="21"/>
    <s v="IT"/>
    <s v="Corporate"/>
    <x v="1"/>
    <s v="Latino"/>
    <n v="30"/>
    <x v="0"/>
    <x v="699"/>
    <n v="2017"/>
    <n v="2"/>
    <n v="92058"/>
    <n v="0"/>
    <s v="United States"/>
    <s v="Austin"/>
    <s v=""/>
  </r>
  <r>
    <s v="E01684"/>
    <s v="Jaxson Liang"/>
    <x v="17"/>
    <s v="Engineering"/>
    <s v="Manufacturing"/>
    <x v="1"/>
    <s v="Asian"/>
    <n v="64"/>
    <x v="2"/>
    <x v="831"/>
    <n v="2019"/>
    <n v="3"/>
    <n v="67114"/>
    <n v="0"/>
    <s v="United States"/>
    <s v="Phoenix"/>
    <s v=""/>
  </r>
  <r>
    <s v="E02968"/>
    <s v="Caroline Santos"/>
    <x v="13"/>
    <s v="Finance"/>
    <s v="Research &amp; Development"/>
    <x v="0"/>
    <s v="Latino"/>
    <n v="25"/>
    <x v="1"/>
    <x v="832"/>
    <n v="2020"/>
    <n v="7"/>
    <n v="56565"/>
    <n v="0"/>
    <s v="Brazil"/>
    <s v="Sao Paulo"/>
    <s v=""/>
  </r>
  <r>
    <s v="E03362"/>
    <s v="Lily Henderson"/>
    <x v="16"/>
    <s v="Human Resources"/>
    <s v="Manufacturing"/>
    <x v="0"/>
    <s v="Caucasian"/>
    <n v="61"/>
    <x v="2"/>
    <x v="833"/>
    <n v="2011"/>
    <n v="5"/>
    <n v="64937"/>
    <n v="0"/>
    <s v="United States"/>
    <s v="Phoenix"/>
    <s v=""/>
  </r>
  <r>
    <s v="E01108"/>
    <s v="Hannah Martinez"/>
    <x v="6"/>
    <s v="Marketing"/>
    <s v="Manufacturing"/>
    <x v="0"/>
    <s v="Latino"/>
    <n v="65"/>
    <x v="2"/>
    <x v="834"/>
    <n v="2006"/>
    <n v="9"/>
    <n v="127626"/>
    <n v="0.1"/>
    <s v="United States"/>
    <s v="Miami"/>
    <s v=""/>
  </r>
  <r>
    <s v="E02217"/>
    <s v="William Phillips"/>
    <x v="23"/>
    <s v="IT"/>
    <s v="Corporate"/>
    <x v="1"/>
    <s v="Black"/>
    <n v="61"/>
    <x v="2"/>
    <x v="835"/>
    <n v="2004"/>
    <n v="1"/>
    <n v="88478"/>
    <n v="0"/>
    <s v="United States"/>
    <s v="Austin"/>
    <s v=""/>
  </r>
  <r>
    <s v="E03519"/>
    <s v="Eliza Zheng"/>
    <x v="3"/>
    <s v="IT"/>
    <s v="Speciality Products"/>
    <x v="0"/>
    <s v="Asian"/>
    <n v="48"/>
    <x v="0"/>
    <x v="836"/>
    <n v="2014"/>
    <n v="4"/>
    <n v="91679"/>
    <n v="7.0000000000000007E-2"/>
    <s v="China"/>
    <s v="Chongqing"/>
    <s v=""/>
  </r>
  <r>
    <s v="E01967"/>
    <s v="John Dang"/>
    <x v="2"/>
    <s v="Sales"/>
    <s v="Corporate"/>
    <x v="1"/>
    <s v="Asian"/>
    <n v="58"/>
    <x v="0"/>
    <x v="837"/>
    <n v="1992"/>
    <n v="3"/>
    <n v="199848"/>
    <n v="0.16"/>
    <s v="China"/>
    <s v="Chongqing"/>
    <s v=""/>
  </r>
  <r>
    <s v="E01125"/>
    <s v="Joshua Yang"/>
    <x v="24"/>
    <s v="IT"/>
    <s v="Manufacturing"/>
    <x v="1"/>
    <s v="Asian"/>
    <n v="34"/>
    <x v="0"/>
    <x v="838"/>
    <n v="2018"/>
    <n v="11"/>
    <n v="61944"/>
    <n v="0"/>
    <s v="China"/>
    <s v="Shanghai"/>
    <s v=""/>
  </r>
  <r>
    <s v="E03795"/>
    <s v="Hazel Young"/>
    <x v="0"/>
    <s v="Sales"/>
    <s v="Speciality Products"/>
    <x v="0"/>
    <s v="Black"/>
    <n v="30"/>
    <x v="0"/>
    <x v="839"/>
    <n v="2017"/>
    <n v="8"/>
    <n v="154624"/>
    <n v="0.15"/>
    <s v="United States"/>
    <s v="Austin"/>
    <s v=""/>
  </r>
  <r>
    <s v="E00508"/>
    <s v="Thomas Jung"/>
    <x v="4"/>
    <s v="Accounting"/>
    <s v="Research &amp; Development"/>
    <x v="1"/>
    <s v="Asian"/>
    <n v="50"/>
    <x v="0"/>
    <x v="66"/>
    <n v="2009"/>
    <n v="10"/>
    <n v="79447"/>
    <n v="0"/>
    <s v="China"/>
    <s v="Shanghai"/>
    <s v=""/>
  </r>
  <r>
    <s v="E02047"/>
    <s v="Xavier Perez"/>
    <x v="4"/>
    <s v="Sales"/>
    <s v="Manufacturing"/>
    <x v="1"/>
    <s v="Latino"/>
    <n v="51"/>
    <x v="0"/>
    <x v="840"/>
    <n v="1998"/>
    <n v="2"/>
    <n v="71111"/>
    <n v="0"/>
    <s v="Brazil"/>
    <s v="Rio de Janerio"/>
    <s v=""/>
  </r>
  <r>
    <s v="E01582"/>
    <s v="Elijah Coleman"/>
    <x v="0"/>
    <s v="Sales"/>
    <s v="Research &amp; Development"/>
    <x v="1"/>
    <s v="Caucasian"/>
    <n v="53"/>
    <x v="0"/>
    <x v="841"/>
    <n v="2014"/>
    <n v="10"/>
    <n v="159538"/>
    <n v="0.11"/>
    <s v="United States"/>
    <s v="Miami"/>
    <s v=""/>
  </r>
  <r>
    <s v="E02563"/>
    <s v="Clara Sanchez"/>
    <x v="8"/>
    <s v="Engineering"/>
    <s v="Corporate"/>
    <x v="0"/>
    <s v="Latino"/>
    <n v="47"/>
    <x v="0"/>
    <x v="842"/>
    <n v="2018"/>
    <n v="10"/>
    <n v="111404"/>
    <n v="0"/>
    <s v="Brazil"/>
    <s v="Rio de Janerio"/>
    <s v=""/>
  </r>
  <r>
    <s v="E04872"/>
    <s v="Isaac Stewart"/>
    <x v="2"/>
    <s v="Marketing"/>
    <s v="Speciality Products"/>
    <x v="1"/>
    <s v="Caucasian"/>
    <n v="25"/>
    <x v="1"/>
    <x v="843"/>
    <n v="2020"/>
    <n v="8"/>
    <n v="172007"/>
    <n v="0.26"/>
    <s v="United States"/>
    <s v="Miami"/>
    <s v=""/>
  </r>
  <r>
    <s v="E03159"/>
    <s v="Claire Romero"/>
    <x v="9"/>
    <s v="Marketing"/>
    <s v="Manufacturing"/>
    <x v="0"/>
    <s v="Latino"/>
    <n v="37"/>
    <x v="0"/>
    <x v="844"/>
    <n v="2011"/>
    <n v="7"/>
    <n v="219474"/>
    <n v="0.36"/>
    <s v="Brazil"/>
    <s v="Manaus"/>
    <s v=""/>
  </r>
  <r>
    <s v="E01337"/>
    <s v="Andrew Coleman"/>
    <x v="2"/>
    <s v="Finance"/>
    <s v="Corporate"/>
    <x v="1"/>
    <s v="Caucasian"/>
    <n v="41"/>
    <x v="0"/>
    <x v="845"/>
    <n v="2019"/>
    <n v="5"/>
    <n v="174415"/>
    <n v="0.23"/>
    <s v="United States"/>
    <s v="Miami"/>
    <s v=""/>
  </r>
  <r>
    <s v="E00102"/>
    <s v="Riley Rojas"/>
    <x v="23"/>
    <s v="IT"/>
    <s v="Speciality Products"/>
    <x v="0"/>
    <s v="Latino"/>
    <n v="36"/>
    <x v="0"/>
    <x v="846"/>
    <n v="2021"/>
    <n v="1"/>
    <n v="90333"/>
    <n v="0"/>
    <s v="Brazil"/>
    <s v="Rio de Janerio"/>
    <s v=""/>
  </r>
  <r>
    <s v="E03637"/>
    <s v="Landon Thao"/>
    <x v="16"/>
    <s v="Human Resources"/>
    <s v="Speciality Products"/>
    <x v="1"/>
    <s v="Asian"/>
    <n v="25"/>
    <x v="1"/>
    <x v="846"/>
    <n v="2021"/>
    <n v="1"/>
    <n v="67299"/>
    <n v="0"/>
    <s v="United States"/>
    <s v="Phoenix"/>
    <s v=""/>
  </r>
  <r>
    <s v="E03455"/>
    <s v="Hadley Ford"/>
    <x v="28"/>
    <s v="IT"/>
    <s v="Research &amp; Development"/>
    <x v="0"/>
    <s v="Caucasian"/>
    <n v="52"/>
    <x v="0"/>
    <x v="847"/>
    <n v="2005"/>
    <n v="2"/>
    <n v="45286"/>
    <n v="0"/>
    <s v="United States"/>
    <s v="Chicago"/>
    <s v=""/>
  </r>
  <r>
    <s v="E03354"/>
    <s v="Austin Brown"/>
    <x v="2"/>
    <s v="Marketing"/>
    <s v="Research &amp; Development"/>
    <x v="1"/>
    <s v="Caucasian"/>
    <n v="48"/>
    <x v="0"/>
    <x v="848"/>
    <n v="2007"/>
    <n v="8"/>
    <n v="194723"/>
    <n v="0.25"/>
    <s v="United States"/>
    <s v="Phoenix"/>
    <s v=""/>
  </r>
  <r>
    <s v="E01225"/>
    <s v="Christian Fong"/>
    <x v="6"/>
    <s v="Sales"/>
    <s v="Research &amp; Development"/>
    <x v="1"/>
    <s v="Asian"/>
    <n v="49"/>
    <x v="0"/>
    <x v="849"/>
    <n v="2012"/>
    <n v="8"/>
    <n v="109850"/>
    <n v="7.0000000000000007E-2"/>
    <s v="China"/>
    <s v="Beijing"/>
    <d v="2020-02-04T00:00:00"/>
  </r>
  <r>
    <s v="E01264"/>
    <s v="Hazel Alvarez"/>
    <x v="20"/>
    <s v="Human Resources"/>
    <s v="Research &amp; Development"/>
    <x v="0"/>
    <s v="Latino"/>
    <n v="62"/>
    <x v="2"/>
    <x v="850"/>
    <n v="2014"/>
    <n v="4"/>
    <n v="45295"/>
    <n v="0"/>
    <s v="Brazil"/>
    <s v="Sao Paulo"/>
    <s v=""/>
  </r>
  <r>
    <s v="E02274"/>
    <s v="Isabella Bailey"/>
    <x v="32"/>
    <s v="IT"/>
    <s v="Manufacturing"/>
    <x v="0"/>
    <s v="Caucasian"/>
    <n v="36"/>
    <x v="0"/>
    <x v="851"/>
    <n v="2010"/>
    <n v="8"/>
    <n v="61310"/>
    <n v="0"/>
    <s v="United States"/>
    <s v="Phoenix"/>
    <s v=""/>
  </r>
  <r>
    <s v="E02848"/>
    <s v="Lincoln Huynh"/>
    <x v="27"/>
    <s v="IT"/>
    <s v="Research &amp; Development"/>
    <x v="1"/>
    <s v="Asian"/>
    <n v="55"/>
    <x v="0"/>
    <x v="852"/>
    <n v="2016"/>
    <n v="11"/>
    <n v="87851"/>
    <n v="0"/>
    <s v="China"/>
    <s v="Chongqing"/>
    <s v=""/>
  </r>
  <r>
    <s v="E00480"/>
    <s v="Hadley Yee"/>
    <x v="20"/>
    <s v="Human Resources"/>
    <s v="Speciality Products"/>
    <x v="0"/>
    <s v="Asian"/>
    <n v="31"/>
    <x v="0"/>
    <x v="496"/>
    <n v="2018"/>
    <n v="3"/>
    <n v="47913"/>
    <n v="0"/>
    <s v="United States"/>
    <s v="Seattle"/>
    <s v=""/>
  </r>
  <r>
    <s v="E00203"/>
    <s v="Julia Doan"/>
    <x v="20"/>
    <s v="Human Resources"/>
    <s v="Speciality Products"/>
    <x v="0"/>
    <s v="Asian"/>
    <n v="53"/>
    <x v="0"/>
    <x v="853"/>
    <n v="2017"/>
    <n v="9"/>
    <n v="46727"/>
    <n v="0"/>
    <s v="United States"/>
    <s v="Columbus"/>
    <d v="2018-05-31T00:00:00"/>
  </r>
  <r>
    <s v="E00647"/>
    <s v="Dylan Ali"/>
    <x v="0"/>
    <s v="Human Resources"/>
    <s v="Speciality Products"/>
    <x v="1"/>
    <s v="Asian"/>
    <n v="27"/>
    <x v="1"/>
    <x v="606"/>
    <n v="2021"/>
    <n v="4"/>
    <n v="133400"/>
    <n v="0.11"/>
    <s v="United States"/>
    <s v="Phoenix"/>
    <s v=""/>
  </r>
  <r>
    <s v="E03296"/>
    <s v="Eloise Trinh"/>
    <x v="29"/>
    <s v="IT"/>
    <s v="Speciality Products"/>
    <x v="0"/>
    <s v="Asian"/>
    <n v="39"/>
    <x v="0"/>
    <x v="854"/>
    <n v="2020"/>
    <n v="4"/>
    <n v="90535"/>
    <n v="0"/>
    <s v="United States"/>
    <s v="Miami"/>
    <s v=""/>
  </r>
  <r>
    <s v="E02453"/>
    <s v="Dylan Kumar"/>
    <x v="4"/>
    <s v="Marketing"/>
    <s v="Speciality Products"/>
    <x v="1"/>
    <s v="Asian"/>
    <n v="55"/>
    <x v="0"/>
    <x v="855"/>
    <n v="2006"/>
    <n v="7"/>
    <n v="93343"/>
    <n v="0"/>
    <s v="China"/>
    <s v="Chongqing"/>
    <s v=""/>
  </r>
  <r>
    <s v="E00647"/>
    <s v="Emily Gupta"/>
    <x v="16"/>
    <s v="Human Resources"/>
    <s v="Corporate"/>
    <x v="0"/>
    <s v="Asian"/>
    <n v="44"/>
    <x v="0"/>
    <x v="856"/>
    <n v="2006"/>
    <n v="2"/>
    <n v="63705"/>
    <n v="0"/>
    <s v="United States"/>
    <s v="Miami"/>
    <s v=""/>
  </r>
  <r>
    <s v="E02522"/>
    <s v="Silas Rivera"/>
    <x v="9"/>
    <s v="Sales"/>
    <s v="Corporate"/>
    <x v="1"/>
    <s v="Latino"/>
    <n v="48"/>
    <x v="0"/>
    <x v="857"/>
    <n v="2000"/>
    <n v="2"/>
    <n v="258081"/>
    <n v="0.3"/>
    <s v="United States"/>
    <s v="Chicago"/>
    <s v=""/>
  </r>
  <r>
    <s v="E00459"/>
    <s v="Jackson Jordan"/>
    <x v="20"/>
    <s v="Human Resources"/>
    <s v="Research &amp; Development"/>
    <x v="1"/>
    <s v="Black"/>
    <n v="48"/>
    <x v="0"/>
    <x v="858"/>
    <n v="2020"/>
    <n v="9"/>
    <n v="54654"/>
    <n v="0"/>
    <s v="United States"/>
    <s v="Phoenix"/>
    <s v=""/>
  </r>
  <r>
    <s v="E03007"/>
    <s v="Isaac Joseph"/>
    <x v="7"/>
    <s v="Sales"/>
    <s v="Manufacturing"/>
    <x v="1"/>
    <s v="Caucasian"/>
    <n v="54"/>
    <x v="0"/>
    <x v="859"/>
    <n v="1998"/>
    <n v="9"/>
    <n v="58006"/>
    <n v="0"/>
    <s v="United States"/>
    <s v="Seattle"/>
    <s v=""/>
  </r>
  <r>
    <s v="E04035"/>
    <s v="Hailey Lai"/>
    <x v="0"/>
    <s v="Finance"/>
    <s v="Manufacturing"/>
    <x v="0"/>
    <s v="Asian"/>
    <n v="42"/>
    <x v="0"/>
    <x v="860"/>
    <n v="2011"/>
    <n v="3"/>
    <n v="150034"/>
    <n v="0.12"/>
    <s v="China"/>
    <s v="Beijing"/>
    <s v=""/>
  </r>
  <r>
    <s v="E00952"/>
    <s v="Leilani Thao"/>
    <x v="2"/>
    <s v="Human Resources"/>
    <s v="Speciality Products"/>
    <x v="0"/>
    <s v="Asian"/>
    <n v="38"/>
    <x v="0"/>
    <x v="861"/>
    <n v="2007"/>
    <n v="5"/>
    <n v="198562"/>
    <n v="0.22"/>
    <s v="United States"/>
    <s v="Seattle"/>
    <s v=""/>
  </r>
  <r>
    <s v="E03863"/>
    <s v="Madeline Watson"/>
    <x v="5"/>
    <s v="Sales"/>
    <s v="Research &amp; Development"/>
    <x v="0"/>
    <s v="Black"/>
    <n v="40"/>
    <x v="0"/>
    <x v="862"/>
    <n v="2009"/>
    <n v="5"/>
    <n v="62411"/>
    <n v="0"/>
    <s v="United States"/>
    <s v="Miami"/>
    <d v="2021-08-14T00:00:00"/>
  </r>
  <r>
    <s v="E02710"/>
    <s v="Silas Huang"/>
    <x v="11"/>
    <s v="Engineering"/>
    <s v="Research &amp; Development"/>
    <x v="1"/>
    <s v="Asian"/>
    <n v="57"/>
    <x v="0"/>
    <x v="863"/>
    <n v="1992"/>
    <n v="1"/>
    <n v="111299"/>
    <n v="0.12"/>
    <s v="United States"/>
    <s v="Miami"/>
    <s v=""/>
  </r>
  <r>
    <s v="E01895"/>
    <s v="Peyton Walker"/>
    <x v="7"/>
    <s v="Marketing"/>
    <s v="Research &amp; Development"/>
    <x v="0"/>
    <s v="Caucasian"/>
    <n v="43"/>
    <x v="0"/>
    <x v="864"/>
    <n v="2019"/>
    <n v="7"/>
    <n v="41545"/>
    <n v="0"/>
    <s v="United States"/>
    <s v="Miami"/>
    <s v=""/>
  </r>
  <r>
    <s v="E01339"/>
    <s v="Jeremiah Hernandez"/>
    <x v="24"/>
    <s v="IT"/>
    <s v="Manufacturing"/>
    <x v="1"/>
    <s v="Latino"/>
    <n v="26"/>
    <x v="1"/>
    <x v="865"/>
    <n v="2019"/>
    <n v="4"/>
    <n v="74467"/>
    <n v="0"/>
    <s v="United States"/>
    <s v="Columbus"/>
    <d v="2021-01-15T00:00:00"/>
  </r>
  <r>
    <s v="E02938"/>
    <s v="Jace Washington"/>
    <x v="6"/>
    <s v="Accounting"/>
    <s v="Research &amp; Development"/>
    <x v="1"/>
    <s v="Caucasian"/>
    <n v="44"/>
    <x v="0"/>
    <x v="358"/>
    <n v="2002"/>
    <n v="2"/>
    <n v="117545"/>
    <n v="0.06"/>
    <s v="United States"/>
    <s v="Phoenix"/>
    <s v=""/>
  </r>
  <r>
    <s v="E03379"/>
    <s v="Landon Kim"/>
    <x v="6"/>
    <s v="Human Resources"/>
    <s v="Speciality Products"/>
    <x v="1"/>
    <s v="Asian"/>
    <n v="50"/>
    <x v="0"/>
    <x v="866"/>
    <n v="2012"/>
    <n v="3"/>
    <n v="117226"/>
    <n v="0.08"/>
    <s v="United States"/>
    <s v="Phoenix"/>
    <s v=""/>
  </r>
  <r>
    <s v="E02153"/>
    <s v="Peyton Vasquez"/>
    <x v="7"/>
    <s v="Accounting"/>
    <s v="Corporate"/>
    <x v="0"/>
    <s v="Latino"/>
    <n v="26"/>
    <x v="1"/>
    <x v="867"/>
    <n v="2019"/>
    <n v="1"/>
    <n v="55767"/>
    <n v="0"/>
    <s v="United States"/>
    <s v="Phoenix"/>
    <s v=""/>
  </r>
  <r>
    <s v="E00994"/>
    <s v="Charlotte Baker"/>
    <x v="13"/>
    <s v="Sales"/>
    <s v="Manufacturing"/>
    <x v="0"/>
    <s v="Caucasian"/>
    <n v="29"/>
    <x v="1"/>
    <x v="868"/>
    <n v="2016"/>
    <n v="11"/>
    <n v="60930"/>
    <n v="0"/>
    <s v="United States"/>
    <s v="Austin"/>
    <s v=""/>
  </r>
  <r>
    <s v="E00943"/>
    <s v="Elena Mendoza"/>
    <x v="2"/>
    <s v="Sales"/>
    <s v="Speciality Products"/>
    <x v="0"/>
    <s v="Latino"/>
    <n v="27"/>
    <x v="1"/>
    <x v="869"/>
    <n v="2018"/>
    <n v="10"/>
    <n v="154973"/>
    <n v="0.28999999999999998"/>
    <s v="Brazil"/>
    <s v="Sao Paulo"/>
    <s v=""/>
  </r>
  <r>
    <s v="E00869"/>
    <s v="Nova Lin"/>
    <x v="21"/>
    <s v="IT"/>
    <s v="Manufacturing"/>
    <x v="0"/>
    <s v="Asian"/>
    <n v="33"/>
    <x v="0"/>
    <x v="870"/>
    <n v="2017"/>
    <n v="10"/>
    <n v="69332"/>
    <n v="0"/>
    <s v="United States"/>
    <s v="Columbus"/>
    <s v=""/>
  </r>
  <r>
    <s v="E03457"/>
    <s v="Ivy Desai"/>
    <x v="8"/>
    <s v="Engineering"/>
    <s v="Research &amp; Development"/>
    <x v="0"/>
    <s v="Asian"/>
    <n v="59"/>
    <x v="0"/>
    <x v="871"/>
    <n v="2001"/>
    <n v="4"/>
    <n v="119699"/>
    <n v="0"/>
    <s v="China"/>
    <s v="Shanghai"/>
    <s v=""/>
  </r>
  <r>
    <s v="E02193"/>
    <s v="Josephine Acosta"/>
    <x v="2"/>
    <s v="Human Resources"/>
    <s v="Speciality Products"/>
    <x v="0"/>
    <s v="Latino"/>
    <n v="40"/>
    <x v="0"/>
    <x v="872"/>
    <n v="2020"/>
    <n v="9"/>
    <n v="198176"/>
    <n v="0.17"/>
    <s v="Brazil"/>
    <s v="Manaus"/>
    <s v=""/>
  </r>
  <r>
    <s v="E00577"/>
    <s v="Nora Nunez"/>
    <x v="13"/>
    <s v="Finance"/>
    <s v="Research &amp; Development"/>
    <x v="0"/>
    <s v="Latino"/>
    <n v="45"/>
    <x v="0"/>
    <x v="873"/>
    <n v="2012"/>
    <n v="8"/>
    <n v="58586"/>
    <n v="0"/>
    <s v="Brazil"/>
    <s v="Sao Paulo"/>
    <s v=""/>
  </r>
  <r>
    <s v="E00538"/>
    <s v="Caleb Xiong"/>
    <x v="26"/>
    <s v="Sales"/>
    <s v="Corporate"/>
    <x v="1"/>
    <s v="Asian"/>
    <n v="38"/>
    <x v="0"/>
    <x v="874"/>
    <n v="2011"/>
    <n v="11"/>
    <n v="74010"/>
    <n v="0"/>
    <s v="United States"/>
    <s v="Chicago"/>
    <s v=""/>
  </r>
  <r>
    <s v="E01415"/>
    <s v="Henry Green"/>
    <x v="26"/>
    <s v="Sales"/>
    <s v="Speciality Products"/>
    <x v="1"/>
    <s v="Caucasian"/>
    <n v="32"/>
    <x v="0"/>
    <x v="632"/>
    <n v="2020"/>
    <n v="2"/>
    <n v="96598"/>
    <n v="0"/>
    <s v="United States"/>
    <s v="Phoenix"/>
    <s v=""/>
  </r>
  <r>
    <s v="E00717"/>
    <s v="Madelyn Chan"/>
    <x v="6"/>
    <s v="Sales"/>
    <s v="Speciality Products"/>
    <x v="0"/>
    <s v="Asian"/>
    <n v="64"/>
    <x v="2"/>
    <x v="875"/>
    <n v="2003"/>
    <n v="5"/>
    <n v="106444"/>
    <n v="0.05"/>
    <s v="United States"/>
    <s v="Phoenix"/>
    <s v=""/>
  </r>
  <r>
    <s v="E00225"/>
    <s v="Angel Delgado"/>
    <x v="2"/>
    <s v="Finance"/>
    <s v="Corporate"/>
    <x v="1"/>
    <s v="Latino"/>
    <n v="31"/>
    <x v="0"/>
    <x v="876"/>
    <n v="2017"/>
    <n v="8"/>
    <n v="156931"/>
    <n v="0.28000000000000003"/>
    <s v="United States"/>
    <s v="Seattle"/>
    <s v=""/>
  </r>
  <r>
    <s v="E02889"/>
    <s v="Mia Herrera"/>
    <x v="2"/>
    <s v="Marketing"/>
    <s v="Research &amp; Development"/>
    <x v="0"/>
    <s v="Latino"/>
    <n v="43"/>
    <x v="0"/>
    <x v="877"/>
    <n v="2014"/>
    <n v="10"/>
    <n v="171360"/>
    <n v="0.23"/>
    <s v="Brazil"/>
    <s v="Manaus"/>
    <s v=""/>
  </r>
  <r>
    <s v="E04978"/>
    <s v="Peyton Harris"/>
    <x v="14"/>
    <s v="IT"/>
    <s v="Research &amp; Development"/>
    <x v="0"/>
    <s v="Caucasian"/>
    <n v="45"/>
    <x v="0"/>
    <x v="878"/>
    <n v="2009"/>
    <n v="4"/>
    <n v="64505"/>
    <n v="0"/>
    <s v="United States"/>
    <s v="Miami"/>
    <s v=""/>
  </r>
  <r>
    <s v="E04163"/>
    <s v="David Herrera"/>
    <x v="11"/>
    <s v="Engineering"/>
    <s v="Speciality Products"/>
    <x v="1"/>
    <s v="Latino"/>
    <n v="32"/>
    <x v="0"/>
    <x v="879"/>
    <n v="2021"/>
    <n v="10"/>
    <n v="102298"/>
    <n v="0.13"/>
    <s v="Brazil"/>
    <s v="Rio de Janerio"/>
    <s v=""/>
  </r>
  <r>
    <s v="E01652"/>
    <s v="Avery Dominguez"/>
    <x v="0"/>
    <s v="Sales"/>
    <s v="Corporate"/>
    <x v="0"/>
    <s v="Latino"/>
    <n v="27"/>
    <x v="1"/>
    <x v="880"/>
    <n v="2019"/>
    <n v="9"/>
    <n v="133297"/>
    <n v="0.13"/>
    <s v="Brazil"/>
    <s v="Rio de Janerio"/>
    <s v=""/>
  </r>
  <r>
    <s v="E00880"/>
    <s v="Grace Carter"/>
    <x v="0"/>
    <s v="Human Resources"/>
    <s v="Speciality Products"/>
    <x v="0"/>
    <s v="Black"/>
    <n v="25"/>
    <x v="1"/>
    <x v="881"/>
    <n v="2021"/>
    <n v="3"/>
    <n v="155080"/>
    <n v="0.1"/>
    <s v="United States"/>
    <s v="Austin"/>
    <s v=""/>
  </r>
  <r>
    <s v="E04335"/>
    <s v="Parker Allen"/>
    <x v="4"/>
    <s v="Sales"/>
    <s v="Speciality Products"/>
    <x v="1"/>
    <s v="Caucasian"/>
    <n v="31"/>
    <x v="0"/>
    <x v="882"/>
    <n v="2018"/>
    <n v="8"/>
    <n v="81828"/>
    <n v="0"/>
    <s v="United States"/>
    <s v="Miami"/>
    <s v=""/>
  </r>
  <r>
    <s v="E01300"/>
    <s v="Sadie Lee"/>
    <x v="0"/>
    <s v="Marketing"/>
    <s v="Corporate"/>
    <x v="0"/>
    <s v="Asian"/>
    <n v="65"/>
    <x v="2"/>
    <x v="883"/>
    <n v="2000"/>
    <n v="10"/>
    <n v="149417"/>
    <n v="0.13"/>
    <s v="China"/>
    <s v="Chengdu"/>
    <s v=""/>
  </r>
  <r>
    <s v="E03102"/>
    <s v="Cooper Valdez"/>
    <x v="6"/>
    <s v="Sales"/>
    <s v="Corporate"/>
    <x v="1"/>
    <s v="Latino"/>
    <n v="50"/>
    <x v="0"/>
    <x v="884"/>
    <n v="2012"/>
    <n v="4"/>
    <n v="113269"/>
    <n v="0.09"/>
    <s v="Brazil"/>
    <s v="Sao Paulo"/>
    <s v=""/>
  </r>
  <r>
    <s v="E04089"/>
    <s v="Sebastian Fong"/>
    <x v="0"/>
    <s v="IT"/>
    <s v="Manufacturing"/>
    <x v="1"/>
    <s v="Asian"/>
    <n v="46"/>
    <x v="0"/>
    <x v="885"/>
    <n v="2017"/>
    <n v="12"/>
    <n v="136716"/>
    <n v="0.12"/>
    <s v="United States"/>
    <s v="Austin"/>
    <s v=""/>
  </r>
  <r>
    <s v="E02059"/>
    <s v="Roman Munoz"/>
    <x v="0"/>
    <s v="Sales"/>
    <s v="Speciality Products"/>
    <x v="1"/>
    <s v="Latino"/>
    <n v="54"/>
    <x v="0"/>
    <x v="571"/>
    <n v="2011"/>
    <n v="10"/>
    <n v="122644"/>
    <n v="0.12"/>
    <s v="United States"/>
    <s v="Austin"/>
    <s v=""/>
  </r>
  <r>
    <s v="E03894"/>
    <s v="Charlotte Chang"/>
    <x v="6"/>
    <s v="Sales"/>
    <s v="Research &amp; Development"/>
    <x v="0"/>
    <s v="Asian"/>
    <n v="50"/>
    <x v="0"/>
    <x v="886"/>
    <n v="2000"/>
    <n v="5"/>
    <n v="106428"/>
    <n v="7.0000000000000007E-2"/>
    <s v="United States"/>
    <s v="Chicago"/>
    <s v=""/>
  </r>
  <r>
    <s v="E03106"/>
    <s v="Xavier Davis"/>
    <x v="9"/>
    <s v="Finance"/>
    <s v="Corporate"/>
    <x v="1"/>
    <s v="Caucasian"/>
    <n v="36"/>
    <x v="0"/>
    <x v="887"/>
    <n v="2009"/>
    <n v="1"/>
    <n v="238236"/>
    <n v="0.31"/>
    <s v="United States"/>
    <s v="Seattle"/>
    <s v=""/>
  </r>
  <r>
    <s v="E01350"/>
    <s v="Natalie Carter"/>
    <x v="2"/>
    <s v="Finance"/>
    <s v="Corporate"/>
    <x v="0"/>
    <s v="Caucasian"/>
    <n v="64"/>
    <x v="2"/>
    <x v="888"/>
    <n v="2012"/>
    <n v="12"/>
    <n v="153253"/>
    <n v="0.24"/>
    <s v="United States"/>
    <s v="Austin"/>
    <s v=""/>
  </r>
  <r>
    <s v="E02900"/>
    <s v="Elena Richardson"/>
    <x v="6"/>
    <s v="Accounting"/>
    <s v="Manufacturing"/>
    <x v="0"/>
    <s v="Caucasian"/>
    <n v="34"/>
    <x v="0"/>
    <x v="889"/>
    <n v="2014"/>
    <n v="10"/>
    <n v="103707"/>
    <n v="0.09"/>
    <s v="United States"/>
    <s v="Columbus"/>
    <s v=""/>
  </r>
  <r>
    <s v="E02202"/>
    <s v="Emilia Bailey"/>
    <x v="9"/>
    <s v="Accounting"/>
    <s v="Speciality Products"/>
    <x v="0"/>
    <s v="Caucasian"/>
    <n v="41"/>
    <x v="0"/>
    <x v="890"/>
    <n v="2012"/>
    <n v="8"/>
    <n v="245360"/>
    <n v="0.37"/>
    <s v="United States"/>
    <s v="Austin"/>
    <s v=""/>
  </r>
  <r>
    <s v="E02696"/>
    <s v="Ryan Lu"/>
    <x v="25"/>
    <s v="Engineering"/>
    <s v="Speciality Products"/>
    <x v="1"/>
    <s v="Asian"/>
    <n v="25"/>
    <x v="1"/>
    <x v="891"/>
    <n v="2021"/>
    <n v="7"/>
    <n v="67275"/>
    <n v="0"/>
    <s v="United States"/>
    <s v="Columbus"/>
    <s v=""/>
  </r>
  <r>
    <s v="E01722"/>
    <s v="Asher Huynh"/>
    <x v="6"/>
    <s v="IT"/>
    <s v="Manufacturing"/>
    <x v="1"/>
    <s v="Asian"/>
    <n v="45"/>
    <x v="0"/>
    <x v="892"/>
    <n v="2015"/>
    <n v="1"/>
    <n v="101288"/>
    <n v="0.1"/>
    <s v="United States"/>
    <s v="Phoenix"/>
    <s v=""/>
  </r>
  <r>
    <s v="E04562"/>
    <s v="Kinsley Martinez"/>
    <x v="2"/>
    <s v="Human Resources"/>
    <s v="Speciality Products"/>
    <x v="0"/>
    <s v="Latino"/>
    <n v="52"/>
    <x v="0"/>
    <x v="893"/>
    <n v="1993"/>
    <n v="8"/>
    <n v="177443"/>
    <n v="0.25"/>
    <s v="Brazil"/>
    <s v="Sao Paulo"/>
    <s v=""/>
  </r>
  <r>
    <s v="E00640"/>
    <s v="Paisley Bryant"/>
    <x v="21"/>
    <s v="IT"/>
    <s v="Manufacturing"/>
    <x v="0"/>
    <s v="Black"/>
    <n v="37"/>
    <x v="0"/>
    <x v="894"/>
    <n v="2016"/>
    <n v="4"/>
    <n v="91400"/>
    <n v="0"/>
    <s v="United States"/>
    <s v="Chicago"/>
    <s v=""/>
  </r>
  <r>
    <s v="E02554"/>
    <s v="Joshua Ramirez"/>
    <x v="9"/>
    <s v="Human Resources"/>
    <s v="Corporate"/>
    <x v="1"/>
    <s v="Latino"/>
    <n v="44"/>
    <x v="0"/>
    <x v="895"/>
    <n v="2007"/>
    <n v="9"/>
    <n v="181247"/>
    <n v="0.33"/>
    <s v="Brazil"/>
    <s v="Sao Paulo"/>
    <s v=""/>
  </r>
  <r>
    <s v="E03412"/>
    <s v="Joshua Martin"/>
    <x v="0"/>
    <s v="Human Resources"/>
    <s v="Research &amp; Development"/>
    <x v="1"/>
    <s v="Black"/>
    <n v="42"/>
    <x v="0"/>
    <x v="896"/>
    <n v="2003"/>
    <n v="10"/>
    <n v="135558"/>
    <n v="0.14000000000000001"/>
    <s v="United States"/>
    <s v="Phoenix"/>
    <s v=""/>
  </r>
  <r>
    <s v="E00646"/>
    <s v="Charles Moore"/>
    <x v="7"/>
    <s v="Accounting"/>
    <s v="Speciality Products"/>
    <x v="1"/>
    <s v="Caucasian"/>
    <n v="49"/>
    <x v="0"/>
    <x v="897"/>
    <n v="2011"/>
    <n v="12"/>
    <n v="56878"/>
    <n v="0"/>
    <s v="United States"/>
    <s v="Seattle"/>
    <s v=""/>
  </r>
  <r>
    <s v="E04670"/>
    <s v="Angel Do"/>
    <x v="30"/>
    <s v="IT"/>
    <s v="Speciality Products"/>
    <x v="1"/>
    <s v="Asian"/>
    <n v="34"/>
    <x v="0"/>
    <x v="898"/>
    <n v="2019"/>
    <n v="9"/>
    <n v="94735"/>
    <n v="0"/>
    <s v="China"/>
    <s v="Beijing"/>
    <s v=""/>
  </r>
  <r>
    <s v="E03580"/>
    <s v="Maverick Medina"/>
    <x v="13"/>
    <s v="Sales"/>
    <s v="Manufacturing"/>
    <x v="1"/>
    <s v="Latino"/>
    <n v="39"/>
    <x v="0"/>
    <x v="899"/>
    <n v="2007"/>
    <n v="5"/>
    <n v="51234"/>
    <n v="0"/>
    <s v="United States"/>
    <s v="Seattle"/>
    <s v=""/>
  </r>
  <r>
    <s v="E00446"/>
    <s v="Isaac Han"/>
    <x v="9"/>
    <s v="Human Resources"/>
    <s v="Speciality Products"/>
    <x v="1"/>
    <s v="Asian"/>
    <n v="31"/>
    <x v="0"/>
    <x v="900"/>
    <n v="2015"/>
    <n v="1"/>
    <n v="230025"/>
    <n v="0.34"/>
    <s v="United States"/>
    <s v="Phoenix"/>
    <s v=""/>
  </r>
  <r>
    <s v="E02363"/>
    <s v="Eliza Liang"/>
    <x v="0"/>
    <s v="Human Resources"/>
    <s v="Speciality Products"/>
    <x v="0"/>
    <s v="Asian"/>
    <n v="36"/>
    <x v="0"/>
    <x v="901"/>
    <n v="2010"/>
    <n v="3"/>
    <n v="134006"/>
    <n v="0.13"/>
    <s v="China"/>
    <s v="Beijing"/>
    <s v=""/>
  </r>
  <r>
    <s v="E03718"/>
    <s v="Zoe Zhou"/>
    <x v="6"/>
    <s v="Finance"/>
    <s v="Corporate"/>
    <x v="0"/>
    <s v="Asian"/>
    <n v="61"/>
    <x v="2"/>
    <x v="902"/>
    <n v="2009"/>
    <n v="10"/>
    <n v="103096"/>
    <n v="7.0000000000000007E-2"/>
    <s v="China"/>
    <s v="Beijing"/>
    <s v=""/>
  </r>
  <r>
    <s v="E01749"/>
    <s v="Nathan Lee"/>
    <x v="7"/>
    <s v="Accounting"/>
    <s v="Manufacturing"/>
    <x v="1"/>
    <s v="Asian"/>
    <n v="29"/>
    <x v="1"/>
    <x v="903"/>
    <n v="2016"/>
    <n v="8"/>
    <n v="58703"/>
    <n v="0"/>
    <s v="United States"/>
    <s v="Columbus"/>
    <s v=""/>
  </r>
  <r>
    <s v="E02888"/>
    <s v="Elijah Ramos"/>
    <x v="0"/>
    <s v="IT"/>
    <s v="Speciality Products"/>
    <x v="1"/>
    <s v="Latino"/>
    <n v="33"/>
    <x v="0"/>
    <x v="904"/>
    <n v="2012"/>
    <n v="12"/>
    <n v="132544"/>
    <n v="0.1"/>
    <s v="Brazil"/>
    <s v="Rio de Janerio"/>
    <s v=""/>
  </r>
  <r>
    <s v="E01338"/>
    <s v="Jaxson Coleman"/>
    <x v="6"/>
    <s v="Finance"/>
    <s v="Manufacturing"/>
    <x v="1"/>
    <s v="Caucasian"/>
    <n v="32"/>
    <x v="0"/>
    <x v="905"/>
    <n v="2020"/>
    <n v="4"/>
    <n v="126671"/>
    <n v="0.09"/>
    <s v="United States"/>
    <s v="Miami"/>
    <s v=""/>
  </r>
  <r>
    <s v="E03000"/>
    <s v="Hailey Hong"/>
    <x v="5"/>
    <s v="Sales"/>
    <s v="Research &amp; Development"/>
    <x v="0"/>
    <s v="Asian"/>
    <n v="33"/>
    <x v="0"/>
    <x v="906"/>
    <n v="2021"/>
    <n v="1"/>
    <n v="56405"/>
    <n v="0"/>
    <s v="United States"/>
    <s v="Chicago"/>
    <s v=""/>
  </r>
  <r>
    <s v="E01611"/>
    <s v="Gabriella Zhu"/>
    <x v="3"/>
    <s v="IT"/>
    <s v="Speciality Products"/>
    <x v="0"/>
    <s v="Asian"/>
    <n v="36"/>
    <x v="0"/>
    <x v="907"/>
    <n v="2014"/>
    <n v="11"/>
    <n v="88730"/>
    <n v="0.08"/>
    <s v="China"/>
    <s v="Chongqing"/>
    <s v=""/>
  </r>
  <r>
    <s v="E02684"/>
    <s v="Aaron Maldonado"/>
    <x v="13"/>
    <s v="Finance"/>
    <s v="Manufacturing"/>
    <x v="1"/>
    <s v="Latino"/>
    <n v="39"/>
    <x v="0"/>
    <x v="908"/>
    <n v="2008"/>
    <n v="9"/>
    <n v="62861"/>
    <n v="0"/>
    <s v="United States"/>
    <s v="Seattle"/>
    <s v=""/>
  </r>
  <r>
    <s v="E02561"/>
    <s v="Samantha Vargas"/>
    <x v="2"/>
    <s v="Human Resources"/>
    <s v="Corporate"/>
    <x v="0"/>
    <s v="Latino"/>
    <n v="53"/>
    <x v="0"/>
    <x v="909"/>
    <n v="2006"/>
    <n v="7"/>
    <n v="151246"/>
    <n v="0.21"/>
    <s v="Brazil"/>
    <s v="Sao Paulo"/>
    <s v=""/>
  </r>
  <r>
    <s v="E03168"/>
    <s v="Nora Le"/>
    <x v="0"/>
    <s v="IT"/>
    <s v="Manufacturing"/>
    <x v="0"/>
    <s v="Asian"/>
    <n v="53"/>
    <x v="0"/>
    <x v="910"/>
    <n v="1997"/>
    <n v="4"/>
    <n v="154388"/>
    <n v="0.1"/>
    <s v="United States"/>
    <s v="Seattle"/>
    <s v=""/>
  </r>
  <r>
    <s v="E00758"/>
    <s v="Alice Roberts"/>
    <x v="2"/>
    <s v="Human Resources"/>
    <s v="Manufacturing"/>
    <x v="0"/>
    <s v="Caucasian"/>
    <n v="54"/>
    <x v="0"/>
    <x v="911"/>
    <n v="1994"/>
    <n v="9"/>
    <n v="162978"/>
    <n v="0.17"/>
    <s v="United States"/>
    <s v="Miami"/>
    <d v="2004-05-24T00:00:00"/>
  </r>
  <r>
    <s v="E03691"/>
    <s v="Colton Garcia"/>
    <x v="29"/>
    <s v="IT"/>
    <s v="Speciality Products"/>
    <x v="1"/>
    <s v="Latino"/>
    <n v="55"/>
    <x v="0"/>
    <x v="912"/>
    <n v="1993"/>
    <n v="11"/>
    <n v="80170"/>
    <n v="0"/>
    <s v="United States"/>
    <s v="Miami"/>
    <s v=""/>
  </r>
  <r>
    <s v="E01488"/>
    <s v="Stella Lai"/>
    <x v="4"/>
    <s v="Accounting"/>
    <s v="Manufacturing"/>
    <x v="0"/>
    <s v="Asian"/>
    <n v="44"/>
    <x v="0"/>
    <x v="913"/>
    <n v="2021"/>
    <n v="4"/>
    <n v="98520"/>
    <n v="0"/>
    <s v="United States"/>
    <s v="Miami"/>
    <s v=""/>
  </r>
  <r>
    <s v="E04415"/>
    <s v="Leonardo Luong"/>
    <x v="6"/>
    <s v="Finance"/>
    <s v="Manufacturing"/>
    <x v="1"/>
    <s v="Asian"/>
    <n v="52"/>
    <x v="0"/>
    <x v="914"/>
    <n v="1999"/>
    <n v="12"/>
    <n v="116527"/>
    <n v="7.0000000000000007E-2"/>
    <s v="United States"/>
    <s v="Phoenix"/>
    <s v=""/>
  </r>
  <r>
    <s v="E03278"/>
    <s v="Nicholas Wong"/>
    <x v="2"/>
    <s v="Sales"/>
    <s v="Research &amp; Development"/>
    <x v="1"/>
    <s v="Asian"/>
    <n v="27"/>
    <x v="1"/>
    <x v="915"/>
    <n v="2019"/>
    <n v="11"/>
    <n v="174607"/>
    <n v="0.28999999999999998"/>
    <s v="United States"/>
    <s v="Columbus"/>
    <s v=""/>
  </r>
  <r>
    <s v="E00282"/>
    <s v="Jeremiah Castillo"/>
    <x v="13"/>
    <s v="Accounting"/>
    <s v="Research &amp; Development"/>
    <x v="1"/>
    <s v="Latino"/>
    <n v="58"/>
    <x v="0"/>
    <x v="916"/>
    <n v="2006"/>
    <n v="4"/>
    <n v="64202"/>
    <n v="0"/>
    <s v="United States"/>
    <s v="Columbus"/>
    <s v=""/>
  </r>
  <r>
    <s v="E03305"/>
    <s v="Cooper Jiang"/>
    <x v="13"/>
    <s v="Accounting"/>
    <s v="Corporate"/>
    <x v="1"/>
    <s v="Asian"/>
    <n v="49"/>
    <x v="0"/>
    <x v="917"/>
    <n v="2019"/>
    <n v="7"/>
    <n v="50883"/>
    <n v="0"/>
    <s v="China"/>
    <s v="Chongqing"/>
    <d v="2021-03-02T00:00:00"/>
  </r>
  <r>
    <s v="E00559"/>
    <s v="Penelope Silva"/>
    <x v="23"/>
    <s v="IT"/>
    <s v="Speciality Products"/>
    <x v="0"/>
    <s v="Latino"/>
    <n v="36"/>
    <x v="0"/>
    <x v="918"/>
    <n v="2016"/>
    <n v="11"/>
    <n v="94618"/>
    <n v="0"/>
    <s v="United States"/>
    <s v="Columbus"/>
    <s v=""/>
  </r>
  <r>
    <s v="E02558"/>
    <s v="Jose Richardson"/>
    <x v="2"/>
    <s v="Marketing"/>
    <s v="Research &amp; Development"/>
    <x v="1"/>
    <s v="Caucasian"/>
    <n v="26"/>
    <x v="1"/>
    <x v="183"/>
    <n v="2019"/>
    <n v="10"/>
    <n v="151556"/>
    <n v="0.2"/>
    <s v="United States"/>
    <s v="Miami"/>
    <s v=""/>
  </r>
  <r>
    <s v="E00956"/>
    <s v="Eleanor Chau"/>
    <x v="25"/>
    <s v="Engineering"/>
    <s v="Research &amp; Development"/>
    <x v="0"/>
    <s v="Asian"/>
    <n v="37"/>
    <x v="0"/>
    <x v="919"/>
    <n v="2020"/>
    <n v="3"/>
    <n v="80659"/>
    <n v="0"/>
    <s v="United States"/>
    <s v="Phoenix"/>
    <s v=""/>
  </r>
  <r>
    <s v="E03858"/>
    <s v="John Cho"/>
    <x v="2"/>
    <s v="Human Resources"/>
    <s v="Speciality Products"/>
    <x v="1"/>
    <s v="Asian"/>
    <n v="47"/>
    <x v="0"/>
    <x v="920"/>
    <n v="2019"/>
    <n v="11"/>
    <n v="195385"/>
    <n v="0.21"/>
    <s v="China"/>
    <s v="Chengdu"/>
    <s v=""/>
  </r>
  <r>
    <s v="E02221"/>
    <s v="Julian Delgado"/>
    <x v="28"/>
    <s v="IT"/>
    <s v="Speciality Products"/>
    <x v="1"/>
    <s v="Latino"/>
    <n v="29"/>
    <x v="1"/>
    <x v="921"/>
    <n v="2016"/>
    <n v="5"/>
    <n v="52693"/>
    <n v="0"/>
    <s v="Brazil"/>
    <s v="Rio de Janerio"/>
    <s v=""/>
  </r>
  <r>
    <s v="E00126"/>
    <s v="Isabella Scott"/>
    <x v="32"/>
    <s v="IT"/>
    <s v="Research &amp; Development"/>
    <x v="0"/>
    <s v="Caucasian"/>
    <n v="58"/>
    <x v="0"/>
    <x v="922"/>
    <n v="2016"/>
    <n v="4"/>
    <n v="72045"/>
    <n v="0"/>
    <s v="United States"/>
    <s v="Phoenix"/>
    <s v=""/>
  </r>
  <r>
    <s v="E02627"/>
    <s v="Parker Avila"/>
    <x v="13"/>
    <s v="Marketing"/>
    <s v="Manufacturing"/>
    <x v="1"/>
    <s v="Latino"/>
    <n v="47"/>
    <x v="0"/>
    <x v="923"/>
    <n v="2005"/>
    <n v="11"/>
    <n v="62749"/>
    <n v="0"/>
    <s v="Brazil"/>
    <s v="Manaus"/>
    <s v=""/>
  </r>
  <r>
    <s v="E03778"/>
    <s v="Luke Vu"/>
    <x v="0"/>
    <s v="Marketing"/>
    <s v="Speciality Products"/>
    <x v="1"/>
    <s v="Asian"/>
    <n v="52"/>
    <x v="0"/>
    <x v="666"/>
    <n v="2018"/>
    <n v="6"/>
    <n v="154884"/>
    <n v="0.1"/>
    <s v="China"/>
    <s v="Shanghai"/>
    <s v=""/>
  </r>
  <r>
    <s v="E00481"/>
    <s v="Jameson Nelson"/>
    <x v="23"/>
    <s v="IT"/>
    <s v="Research &amp; Development"/>
    <x v="1"/>
    <s v="Caucasian"/>
    <n v="61"/>
    <x v="2"/>
    <x v="924"/>
    <n v="2016"/>
    <n v="3"/>
    <n v="96566"/>
    <n v="0"/>
    <s v="United States"/>
    <s v="Columbus"/>
    <s v=""/>
  </r>
  <r>
    <s v="E02833"/>
    <s v="Adrian Fernandez"/>
    <x v="28"/>
    <s v="IT"/>
    <s v="Research &amp; Development"/>
    <x v="1"/>
    <s v="Latino"/>
    <n v="45"/>
    <x v="0"/>
    <x v="925"/>
    <n v="2001"/>
    <n v="8"/>
    <n v="54994"/>
    <n v="0"/>
    <s v="United States"/>
    <s v="Columbus"/>
    <s v=""/>
  </r>
  <r>
    <s v="E03902"/>
    <s v="Madison Hunter"/>
    <x v="32"/>
    <s v="IT"/>
    <s v="Corporate"/>
    <x v="0"/>
    <s v="Caucasian"/>
    <n v="40"/>
    <x v="0"/>
    <x v="926"/>
    <n v="2012"/>
    <n v="2"/>
    <n v="61523"/>
    <n v="0"/>
    <s v="United States"/>
    <s v="Columbus"/>
    <s v=""/>
  </r>
  <r>
    <s v="E02310"/>
    <s v="Jordan Phillips"/>
    <x v="9"/>
    <s v="Human Resources"/>
    <s v="Corporate"/>
    <x v="1"/>
    <s v="Black"/>
    <n v="45"/>
    <x v="0"/>
    <x v="927"/>
    <n v="2010"/>
    <n v="12"/>
    <n v="190512"/>
    <n v="0.32"/>
    <s v="United States"/>
    <s v="Columbus"/>
    <s v=""/>
  </r>
  <r>
    <s v="E02661"/>
    <s v="Maya Chan"/>
    <x v="8"/>
    <s v="Engineering"/>
    <s v="Speciality Products"/>
    <x v="0"/>
    <s v="Asian"/>
    <n v="37"/>
    <x v="0"/>
    <x v="928"/>
    <n v="2013"/>
    <n v="2"/>
    <n v="124827"/>
    <n v="0"/>
    <s v="China"/>
    <s v="Beijing"/>
    <s v=""/>
  </r>
  <r>
    <s v="E00836"/>
    <s v="Wesley King"/>
    <x v="6"/>
    <s v="Accounting"/>
    <s v="Manufacturing"/>
    <x v="1"/>
    <s v="Caucasian"/>
    <n v="57"/>
    <x v="0"/>
    <x v="929"/>
    <n v="2019"/>
    <n v="1"/>
    <n v="101577"/>
    <n v="0.05"/>
    <s v="United States"/>
    <s v="Chicago"/>
    <s v=""/>
  </r>
  <r>
    <s v="E00682"/>
    <s v="Sofia Fernandez"/>
    <x v="6"/>
    <s v="Accounting"/>
    <s v="Manufacturing"/>
    <x v="0"/>
    <s v="Latino"/>
    <n v="44"/>
    <x v="0"/>
    <x v="930"/>
    <n v="2005"/>
    <n v="10"/>
    <n v="105223"/>
    <n v="0.1"/>
    <s v="United States"/>
    <s v="Phoenix"/>
    <s v=""/>
  </r>
  <r>
    <s v="E00287"/>
    <s v="Maverick Figueroa"/>
    <x v="30"/>
    <s v="IT"/>
    <s v="Corporate"/>
    <x v="1"/>
    <s v="Latino"/>
    <n v="48"/>
    <x v="0"/>
    <x v="931"/>
    <n v="2008"/>
    <n v="7"/>
    <n v="94815"/>
    <n v="0"/>
    <s v="United States"/>
    <s v="Chicago"/>
    <s v=""/>
  </r>
  <r>
    <s v="E00785"/>
    <s v="Hannah Hoang"/>
    <x v="6"/>
    <s v="Accounting"/>
    <s v="Speciality Products"/>
    <x v="0"/>
    <s v="Asian"/>
    <n v="25"/>
    <x v="1"/>
    <x v="257"/>
    <n v="2021"/>
    <n v="12"/>
    <n v="114893"/>
    <n v="0.06"/>
    <s v="China"/>
    <s v="Chengdu"/>
    <s v=""/>
  </r>
  <r>
    <s v="E04598"/>
    <s v="Violet Garcia"/>
    <x v="4"/>
    <s v="Marketing"/>
    <s v="Speciality Products"/>
    <x v="0"/>
    <s v="Latino"/>
    <n v="35"/>
    <x v="0"/>
    <x v="932"/>
    <n v="2017"/>
    <n v="1"/>
    <n v="80622"/>
    <n v="0"/>
    <s v="United States"/>
    <s v="Austin"/>
    <s v=""/>
  </r>
  <r>
    <s v="E03247"/>
    <s v="Aaliyah Mai"/>
    <x v="9"/>
    <s v="IT"/>
    <s v="Speciality Products"/>
    <x v="0"/>
    <s v="Asian"/>
    <n v="57"/>
    <x v="0"/>
    <x v="933"/>
    <n v="2016"/>
    <n v="11"/>
    <n v="246589"/>
    <n v="0.33"/>
    <s v="United States"/>
    <s v="Phoenix"/>
    <d v="2017-03-26T00:00:00"/>
  </r>
  <r>
    <s v="E02703"/>
    <s v="Austin Vang"/>
    <x v="6"/>
    <s v="Marketing"/>
    <s v="Speciality Products"/>
    <x v="1"/>
    <s v="Asian"/>
    <n v="49"/>
    <x v="0"/>
    <x v="163"/>
    <n v="2018"/>
    <n v="5"/>
    <n v="119397"/>
    <n v="0.09"/>
    <s v="China"/>
    <s v="Beijing"/>
    <d v="2019-03-14T00:00:00"/>
  </r>
  <r>
    <s v="E02191"/>
    <s v="Maria Sun"/>
    <x v="2"/>
    <s v="Sales"/>
    <s v="Corporate"/>
    <x v="0"/>
    <s v="Asian"/>
    <n v="25"/>
    <x v="1"/>
    <x v="934"/>
    <n v="2021"/>
    <n v="12"/>
    <n v="150666"/>
    <n v="0.23"/>
    <s v="China"/>
    <s v="Chengdu"/>
    <s v=""/>
  </r>
  <r>
    <s v="E00156"/>
    <s v="Madelyn Scott"/>
    <x v="0"/>
    <s v="IT"/>
    <s v="Research &amp; Development"/>
    <x v="0"/>
    <s v="Caucasian"/>
    <n v="46"/>
    <x v="0"/>
    <x v="935"/>
    <n v="2002"/>
    <n v="1"/>
    <n v="148035"/>
    <n v="0.14000000000000001"/>
    <s v="United States"/>
    <s v="Phoenix"/>
    <s v=""/>
  </r>
  <r>
    <s v="E03349"/>
    <s v="Dylan Chin"/>
    <x v="2"/>
    <s v="Finance"/>
    <s v="Corporate"/>
    <x v="1"/>
    <s v="Asian"/>
    <n v="60"/>
    <x v="2"/>
    <x v="936"/>
    <n v="2017"/>
    <n v="6"/>
    <n v="158898"/>
    <n v="0.18"/>
    <s v="United States"/>
    <s v="Miami"/>
    <s v=""/>
  </r>
  <r>
    <s v="E04032"/>
    <s v="Emery Zhang"/>
    <x v="17"/>
    <s v="Engineering"/>
    <s v="Corporate"/>
    <x v="0"/>
    <s v="Asian"/>
    <n v="45"/>
    <x v="0"/>
    <x v="937"/>
    <n v="2012"/>
    <n v="2"/>
    <n v="89659"/>
    <n v="0"/>
    <s v="China"/>
    <s v="Beijing"/>
    <s v=""/>
  </r>
  <r>
    <s v="E00005"/>
    <s v="Riley Washington"/>
    <x v="2"/>
    <s v="Sales"/>
    <s v="Speciality Products"/>
    <x v="0"/>
    <s v="Caucasian"/>
    <n v="39"/>
    <x v="0"/>
    <x v="938"/>
    <n v="2007"/>
    <n v="4"/>
    <n v="171487"/>
    <n v="0.23"/>
    <s v="United States"/>
    <s v="Phoenix"/>
    <s v=""/>
  </r>
  <r>
    <s v="E04354"/>
    <s v="Raelynn Rios"/>
    <x v="9"/>
    <s v="Sales"/>
    <s v="Manufacturing"/>
    <x v="0"/>
    <s v="Latino"/>
    <n v="43"/>
    <x v="0"/>
    <x v="939"/>
    <n v="2016"/>
    <n v="8"/>
    <n v="258498"/>
    <n v="0.35"/>
    <s v="United States"/>
    <s v="Columbus"/>
    <s v=""/>
  </r>
  <r>
    <s v="E01578"/>
    <s v="Anthony Hong"/>
    <x v="0"/>
    <s v="IT"/>
    <s v="Research &amp; Development"/>
    <x v="1"/>
    <s v="Asian"/>
    <n v="37"/>
    <x v="0"/>
    <x v="802"/>
    <n v="2010"/>
    <n v="11"/>
    <n v="146961"/>
    <n v="0.11"/>
    <s v="United States"/>
    <s v="Columbus"/>
    <s v=""/>
  </r>
  <r>
    <s v="a1"/>
    <s v="Leo Herrera"/>
    <x v="15"/>
    <s v="Human Resources"/>
    <s v="Research &amp; Development"/>
    <x v="1"/>
    <s v="Latino"/>
    <n v="48"/>
    <x v="0"/>
    <x v="940"/>
    <n v="1998"/>
    <n v="4"/>
    <n v="85369"/>
    <n v="0"/>
    <s v="Brazil"/>
    <s v="Manaus"/>
    <d v="2004-11-27T00:00:00"/>
  </r>
  <r>
    <s v="A1"/>
    <s v="Robert Wright"/>
    <x v="1"/>
    <s v="IT"/>
    <s v="Manufacturing"/>
    <x v="1"/>
    <s v="Caucasian"/>
    <n v="30"/>
    <x v="0"/>
    <x v="941"/>
    <n v="2015"/>
    <n v="6"/>
    <n v="67489"/>
    <n v="0"/>
    <s v="United States"/>
    <s v="Chicago"/>
    <s v=""/>
  </r>
  <r>
    <s v="E04762"/>
    <s v="Audrey Richardson"/>
    <x v="2"/>
    <s v="IT"/>
    <s v="Manufacturing"/>
    <x v="0"/>
    <s v="Caucasian"/>
    <n v="46"/>
    <x v="0"/>
    <x v="942"/>
    <n v="2018"/>
    <n v="10"/>
    <n v="166259"/>
    <n v="0.17"/>
    <s v="United States"/>
    <s v="Chicago"/>
    <s v=""/>
  </r>
  <r>
    <s v="E01148"/>
    <s v="Scarlett Kumar"/>
    <x v="28"/>
    <s v="IT"/>
    <s v="Corporate"/>
    <x v="0"/>
    <s v="Asian"/>
    <n v="55"/>
    <x v="0"/>
    <x v="943"/>
    <n v="2009"/>
    <n v="1"/>
    <n v="47032"/>
    <n v="0"/>
    <s v="United States"/>
    <s v="Columbus"/>
    <s v=""/>
  </r>
  <r>
    <s v="E03094"/>
    <s v="Wesley Young"/>
    <x v="4"/>
    <s v="Marketing"/>
    <s v="Speciality Products"/>
    <x v="1"/>
    <s v="Caucasian"/>
    <n v="33"/>
    <x v="0"/>
    <x v="944"/>
    <n v="2016"/>
    <n v="9"/>
    <n v="98427"/>
    <n v="0"/>
    <s v="United States"/>
    <s v="Columbus"/>
    <s v=""/>
  </r>
  <r>
    <s v="E01909"/>
    <s v="Lillian Khan"/>
    <x v="7"/>
    <s v="Finance"/>
    <s v="Speciality Products"/>
    <x v="0"/>
    <s v="Asian"/>
    <n v="44"/>
    <x v="0"/>
    <x v="945"/>
    <n v="2010"/>
    <n v="5"/>
    <n v="47387"/>
    <n v="0"/>
    <s v="China"/>
    <s v="Chengdu"/>
    <d v="2018-01-08T00:00:00"/>
  </r>
  <r>
    <s v="E04398"/>
    <s v="Oliver Yang"/>
    <x v="2"/>
    <s v="Marketing"/>
    <s v="Speciality Products"/>
    <x v="1"/>
    <s v="Asian"/>
    <n v="31"/>
    <x v="0"/>
    <x v="946"/>
    <n v="2019"/>
    <n v="6"/>
    <n v="176710"/>
    <n v="0.15"/>
    <s v="United States"/>
    <s v="Miami"/>
    <s v=""/>
  </r>
  <r>
    <s v="E02521"/>
    <s v="Lily Nguyen"/>
    <x v="4"/>
    <s v="Finance"/>
    <s v="Speciality Products"/>
    <x v="0"/>
    <s v="Asian"/>
    <n v="33"/>
    <x v="0"/>
    <x v="947"/>
    <n v="2012"/>
    <n v="1"/>
    <n v="95960"/>
    <n v="0"/>
    <s v="China"/>
    <s v="Chengdu"/>
    <s v=""/>
  </r>
  <r>
    <s v="E03545"/>
    <s v="Sofia Cheng"/>
    <x v="9"/>
    <s v="Accounting"/>
    <s v="Corporate"/>
    <x v="0"/>
    <s v="Asian"/>
    <n v="63"/>
    <x v="2"/>
    <x v="948"/>
    <n v="2020"/>
    <n v="7"/>
    <n v="216195"/>
    <n v="0.31"/>
    <s v="United States"/>
    <s v="Miami"/>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2FA34-E754-4FAF-B487-F763C5A0A3A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55" firstHeaderRow="1" firstDataRow="1" firstDataCol="1"/>
  <pivotFields count="19">
    <pivotField showAll="0"/>
    <pivotField showAll="0"/>
    <pivotField showAll="0"/>
    <pivotField showAll="0"/>
    <pivotField showAll="0"/>
    <pivotField axis="axisRow" showAll="0">
      <items count="3">
        <item x="0"/>
        <item x="1"/>
        <item t="default"/>
      </items>
    </pivotField>
    <pivotField showAll="0"/>
    <pivotField showAll="0"/>
    <pivotField showAll="0"/>
    <pivotField numFmtId="14" showAll="0"/>
    <pivotField showAll="0"/>
    <pivotField showAll="0"/>
    <pivotField dataField="1" numFmtId="164" showAll="0"/>
    <pivotField numFmtId="9" showAll="0"/>
    <pivotField showAll="0"/>
    <pivotField showAll="0"/>
    <pivotField showAll="0"/>
    <pivotField showAll="0" defaultSubtotal="0"/>
    <pivotField showAll="0" defaultSubtotal="0"/>
  </pivotFields>
  <rowFields count="1">
    <field x="5"/>
  </rowFields>
  <rowItems count="3">
    <i>
      <x/>
    </i>
    <i>
      <x v="1"/>
    </i>
    <i t="grand">
      <x/>
    </i>
  </rowItems>
  <colItems count="1">
    <i/>
  </colItems>
  <dataFields count="1">
    <dataField name="Average of Annual Salary" fld="12" subtotal="average" baseField="0" baseItem="0" numFmtId="169"/>
  </dataFields>
  <chartFormats count="3">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80952-F6C0-4976-B419-0D10A4ACB73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C29" firstHeaderRow="0" firstDataRow="1" firstDataCol="1"/>
  <pivotFields count="19">
    <pivotField showAll="0"/>
    <pivotField showAll="0"/>
    <pivotField axis="axisRow" dataField="1" showAll="0">
      <items count="34">
        <item h="1" x="5"/>
        <item h="1" x="7"/>
        <item h="1" x="13"/>
        <item h="1" x="18"/>
        <item x="20"/>
        <item x="21"/>
        <item x="3"/>
        <item x="8"/>
        <item x="25"/>
        <item x="2"/>
        <item x="11"/>
        <item h="1" x="14"/>
        <item x="17"/>
        <item h="1" x="16"/>
        <item x="12"/>
        <item h="1" x="30"/>
        <item h="1" x="6"/>
        <item h="1" x="32"/>
        <item h="1" x="23"/>
        <item h="1" x="24"/>
        <item h="1" x="19"/>
        <item h="1" x="10"/>
        <item h="1" x="31"/>
        <item h="1" x="29"/>
        <item h="1" x="26"/>
        <item h="1" x="4"/>
        <item h="1" x="15"/>
        <item h="1" x="0"/>
        <item h="1" x="27"/>
        <item h="1" x="28"/>
        <item h="1" x="1"/>
        <item h="1" x="22"/>
        <item h="1" x="9"/>
        <item t="default"/>
      </items>
    </pivotField>
    <pivotField showAll="0"/>
    <pivotField showAll="0"/>
    <pivotField showAll="0"/>
    <pivotField showAll="0"/>
    <pivotField showAll="0"/>
    <pivotField showAll="0"/>
    <pivotField numFmtId="14" showAll="0"/>
    <pivotField showAll="0"/>
    <pivotField showAll="0"/>
    <pivotField dataField="1" numFmtId="164" showAll="0"/>
    <pivotField numFmtId="9" showAll="0"/>
    <pivotField showAll="0"/>
    <pivotField showAll="0"/>
    <pivotField showAll="0"/>
    <pivotField showAll="0" defaultSubtotal="0"/>
    <pivotField showAll="0" defaultSubtotal="0"/>
  </pivotFields>
  <rowFields count="1">
    <field x="2"/>
  </rowFields>
  <rowItems count="10">
    <i>
      <x v="4"/>
    </i>
    <i>
      <x v="5"/>
    </i>
    <i>
      <x v="6"/>
    </i>
    <i>
      <x v="7"/>
    </i>
    <i>
      <x v="8"/>
    </i>
    <i>
      <x v="9"/>
    </i>
    <i>
      <x v="10"/>
    </i>
    <i>
      <x v="12"/>
    </i>
    <i>
      <x v="14"/>
    </i>
    <i t="grand">
      <x/>
    </i>
  </rowItems>
  <colFields count="1">
    <field x="-2"/>
  </colFields>
  <colItems count="2">
    <i>
      <x/>
    </i>
    <i i="1">
      <x v="1"/>
    </i>
  </colItems>
  <dataFields count="2">
    <dataField name="Average of Annual Salary" fld="12" subtotal="average" baseField="0" baseItem="0" numFmtId="169"/>
    <dataField name="Count of Job Title" fld="2" subtotal="count" showDataAs="percentOfTotal" baseField="2"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92634-0E5C-4AF0-9EAF-10CAA7915BF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9">
    <pivotField showAll="0"/>
    <pivotField showAll="0"/>
    <pivotField showAll="0"/>
    <pivotField showAll="0"/>
    <pivotField showAll="0"/>
    <pivotField showAll="0"/>
    <pivotField showAll="0"/>
    <pivotField showAll="0"/>
    <pivotField axis="axisRow" showAll="0">
      <items count="4">
        <item x="0"/>
        <item x="2"/>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dataField="1" numFmtId="164" showAll="0"/>
    <pivotField numFmtId="9" showAll="0"/>
    <pivotField showAll="0"/>
    <pivotField showAll="0"/>
    <pivotField showAll="0"/>
    <pivotField showAll="0">
      <items count="7">
        <item sd="0" x="0"/>
        <item sd="0" x="1"/>
        <item sd="0" x="2"/>
        <item sd="0" x="3"/>
        <item sd="0" x="4"/>
        <item sd="0" x="5"/>
        <item t="default"/>
      </items>
    </pivotField>
    <pivotField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1">
    <field x="8"/>
  </rowFields>
  <rowItems count="4">
    <i>
      <x/>
    </i>
    <i>
      <x v="1"/>
    </i>
    <i>
      <x v="2"/>
    </i>
    <i t="grand">
      <x/>
    </i>
  </rowItems>
  <colItems count="1">
    <i/>
  </colItems>
  <dataFields count="1">
    <dataField name="Average of Annual Salary" fld="12" subtotal="average" baseField="0" baseItem="0" numFmtId="168"/>
  </dataFields>
  <chartFormats count="2">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racket" xr10:uid="{FC25E1AA-6496-4DF3-BBD2-07C65E8F7EA3}" sourceName="AgeBracket">
  <pivotTables>
    <pivotTable tabId="3" name="PivotTable1"/>
  </pivotTables>
  <data>
    <tabular pivotCacheId="33769254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71533F9F-6A66-4C64-909B-403E9356498D}" sourceName="Job Title">
  <pivotTables>
    <pivotTable tabId="3" name="PivotTable2"/>
  </pivotTables>
  <data>
    <tabular pivotCacheId="337692541">
      <items count="33">
        <i x="5"/>
        <i x="7"/>
        <i x="13"/>
        <i x="18"/>
        <i x="20" s="1"/>
        <i x="21" s="1"/>
        <i x="3" s="1"/>
        <i x="8" s="1"/>
        <i x="25" s="1"/>
        <i x="2" s="1"/>
        <i x="11" s="1"/>
        <i x="14"/>
        <i x="17" s="1"/>
        <i x="16"/>
        <i x="12" s="1"/>
        <i x="30"/>
        <i x="6"/>
        <i x="32"/>
        <i x="23"/>
        <i x="24"/>
        <i x="19"/>
        <i x="10"/>
        <i x="31"/>
        <i x="29"/>
        <i x="26"/>
        <i x="4"/>
        <i x="15"/>
        <i x="0"/>
        <i x="27"/>
        <i x="28"/>
        <i x="1"/>
        <i x="22"/>
        <i x="9"/>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2E2A76-AB6C-44D4-9869-93F927BFCECA}" sourceName="Gender">
  <pivotTables>
    <pivotTable tabId="3" name="PivotTable3"/>
  </pivotTables>
  <data>
    <tabular pivotCacheId="33769254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Bracket" xr10:uid="{0CF02EC6-EEB9-422C-8ADF-911D237CBAF6}" cache="Slicer_AgeBracket" caption="AgeBracket" rowHeight="241300"/>
  <slicer name="Job Title" xr10:uid="{968BA4E8-9364-40BD-8844-E88C5B59FD33}" cache="Slicer_Job_Title" caption="Job Title" startItem="12" rowHeight="241300"/>
  <slicer name="Gender 1" xr10:uid="{B14F19C9-5DB8-47AE-9A95-71738D1BAFE8}" cache="Slicer_Gender" caption="Gender"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Bracket 1" xr10:uid="{696D1C0D-68EC-4A15-81EE-3CED3B2D695F}" cache="Slicer_AgeBracket" caption="AgeBracket" rowHeight="241300"/>
  <slicer name="Gender" xr10:uid="{09E9D62A-5541-4883-8FA2-3B066F6BE402}"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 displayName="TBL" ref="A1:Q1001" totalsRowShown="0" headerRowDxfId="7">
  <autoFilter ref="A1:Q1001" xr:uid="{D7CA8898-8363-4905-AB67-C7A42F7FDBFA}"/>
  <tableColumns count="17">
    <tableColumn id="1" xr3:uid="{C53A9B11-526E-4544-9240-8F1BF85C6750}" name="EEID"/>
    <tableColumn id="2" xr3:uid="{D9E04A7B-3C65-4F91-BF60-EAFF40E6085B}" name="Full Name"/>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15" xr3:uid="{0EEF134D-68AC-48CA-BEBF-1E813A55C508}" name="AgeBracket" dataDxfId="6">
      <calculatedColumnFormula>IF(TBL[[#This Row],[Age]]&gt;=60, "Old", IF(TBL[[#This Row],[Age]]&gt;=30, "Adult", "Young"))</calculatedColumnFormula>
    </tableColumn>
    <tableColumn id="9" xr3:uid="{94A02DFC-97C6-4041-9BB7-B996CFD8DC0F}" name="Hire Date" dataDxfId="5"/>
    <tableColumn id="16" xr3:uid="{D66DFCCA-D888-4F1A-B379-14C4C1A79B14}" name="Year" dataDxfId="4">
      <calculatedColumnFormula>YEAR(--J2)</calculatedColumnFormula>
    </tableColumn>
    <tableColumn id="17" xr3:uid="{E156B0D6-4EAD-4478-9616-623218C8FA1D}" name="Month" dataDxfId="3">
      <calculatedColumnFormula>MONTH(TBL[[#This Row],[Hire Date]])</calculatedColumnFormula>
    </tableColumn>
    <tableColumn id="10" xr3:uid="{CA3B0D4F-FCC2-4967-BC8E-979F23AA32F2}" name="Annual Salary" dataDxfId="2" dataCellStyle="Currency"/>
    <tableColumn id="11" xr3:uid="{84DC6F9B-C840-4378-9E1C-BEB4EB18E284}" name="Bonus %" dataDxfId="1"/>
    <tableColumn id="12" xr3:uid="{CE1EEE5A-39A1-487E-BBC4-1A7B33DC7D56}" name="Country"/>
    <tableColumn id="13" xr3:uid="{7A08E8D1-8DAD-46E1-B6BA-B9ED0ABD69C7}" name="City"/>
    <tableColumn id="14" xr3:uid="{C7E08E0D-5677-461D-982F-21737E3F492B}" name="Exit Date"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BFCA6-DC5A-4FED-B5D2-4E694B88D206}">
  <dimension ref="A1"/>
  <sheetViews>
    <sheetView tabSelected="1" topLeftCell="A13" workbookViewId="0">
      <selection activeCell="H39" sqref="H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BC7E-8609-4E72-BBFC-AB837C93FC0F}">
  <dimension ref="A3:C55"/>
  <sheetViews>
    <sheetView topLeftCell="A43" workbookViewId="0">
      <selection activeCell="I47" sqref="I47"/>
    </sheetView>
  </sheetViews>
  <sheetFormatPr defaultRowHeight="14.5" x14ac:dyDescent="0.35"/>
  <cols>
    <col min="1" max="1" width="12.36328125" bestFit="1" customWidth="1"/>
    <col min="2" max="2" width="21.81640625" bestFit="1" customWidth="1"/>
    <col min="3" max="4" width="17.453125" bestFit="1" customWidth="1"/>
    <col min="5" max="13" width="8.36328125" bestFit="1" customWidth="1"/>
    <col min="14" max="14" width="10.7265625" bestFit="1" customWidth="1"/>
    <col min="15" max="540" width="11" bestFit="1" customWidth="1"/>
    <col min="541" max="997" width="12" bestFit="1" customWidth="1"/>
    <col min="998" max="998" width="11.81640625" bestFit="1" customWidth="1"/>
  </cols>
  <sheetData>
    <row r="3" spans="1:2" x14ac:dyDescent="0.35">
      <c r="A3" s="9" t="s">
        <v>1985</v>
      </c>
      <c r="B3" t="s">
        <v>1992</v>
      </c>
    </row>
    <row r="4" spans="1:2" x14ac:dyDescent="0.35">
      <c r="A4" s="5" t="s">
        <v>1989</v>
      </c>
      <c r="B4" s="11">
        <v>113141.20626631854</v>
      </c>
    </row>
    <row r="5" spans="1:2" x14ac:dyDescent="0.35">
      <c r="A5" s="5" t="s">
        <v>1990</v>
      </c>
      <c r="B5" s="11">
        <v>111986.62831858407</v>
      </c>
    </row>
    <row r="6" spans="1:2" x14ac:dyDescent="0.35">
      <c r="A6" s="5" t="s">
        <v>1991</v>
      </c>
      <c r="B6" s="11">
        <v>114848.85950413223</v>
      </c>
    </row>
    <row r="7" spans="1:2" x14ac:dyDescent="0.35">
      <c r="A7" s="5" t="s">
        <v>1986</v>
      </c>
      <c r="B7" s="11">
        <v>113217.36500000001</v>
      </c>
    </row>
    <row r="19" spans="1:3" x14ac:dyDescent="0.35">
      <c r="A19" s="9" t="s">
        <v>1985</v>
      </c>
      <c r="B19" t="s">
        <v>1992</v>
      </c>
      <c r="C19" t="s">
        <v>1993</v>
      </c>
    </row>
    <row r="20" spans="1:3" x14ac:dyDescent="0.35">
      <c r="A20" s="5" t="s">
        <v>83</v>
      </c>
      <c r="B20" s="13">
        <v>49559.789473684214</v>
      </c>
      <c r="C20" s="12">
        <v>7.2519083969465645E-2</v>
      </c>
    </row>
    <row r="21" spans="1:3" x14ac:dyDescent="0.35">
      <c r="A21" s="5" t="s">
        <v>38</v>
      </c>
      <c r="B21" s="13">
        <v>86961.333333333328</v>
      </c>
      <c r="C21" s="12">
        <v>5.7251908396946563E-2</v>
      </c>
    </row>
    <row r="22" spans="1:3" x14ac:dyDescent="0.35">
      <c r="A22" s="5" t="s">
        <v>56</v>
      </c>
      <c r="B22" s="13">
        <v>80346.809523809527</v>
      </c>
      <c r="C22" s="12">
        <v>8.0152671755725186E-2</v>
      </c>
    </row>
    <row r="23" spans="1:3" x14ac:dyDescent="0.35">
      <c r="A23" s="5" t="s">
        <v>84</v>
      </c>
      <c r="B23" s="13">
        <v>99626.133333333331</v>
      </c>
      <c r="C23" s="12">
        <v>5.7251908396946563E-2</v>
      </c>
    </row>
    <row r="24" spans="1:3" x14ac:dyDescent="0.35">
      <c r="A24" s="5" t="s">
        <v>86</v>
      </c>
      <c r="B24" s="13">
        <v>77889.210526315786</v>
      </c>
      <c r="C24" s="12">
        <v>7.2519083969465645E-2</v>
      </c>
    </row>
    <row r="25" spans="1:3" x14ac:dyDescent="0.35">
      <c r="A25" s="5" t="s">
        <v>40</v>
      </c>
      <c r="B25" s="13">
        <v>171633.85123966943</v>
      </c>
      <c r="C25" s="12">
        <v>0.46183206106870228</v>
      </c>
    </row>
    <row r="26" spans="1:3" x14ac:dyDescent="0.35">
      <c r="A26" s="5" t="s">
        <v>97</v>
      </c>
      <c r="B26" s="13">
        <v>101853.8</v>
      </c>
      <c r="C26" s="12">
        <v>7.6335877862595422E-2</v>
      </c>
    </row>
    <row r="27" spans="1:3" x14ac:dyDescent="0.35">
      <c r="A27" s="5" t="s">
        <v>129</v>
      </c>
      <c r="B27" s="13">
        <v>78928.952380952382</v>
      </c>
      <c r="C27" s="12">
        <v>8.0152671755725186E-2</v>
      </c>
    </row>
    <row r="28" spans="1:3" x14ac:dyDescent="0.35">
      <c r="A28" s="5" t="s">
        <v>73</v>
      </c>
      <c r="B28" s="13">
        <v>48024.454545454544</v>
      </c>
      <c r="C28" s="12">
        <v>4.1984732824427481E-2</v>
      </c>
    </row>
    <row r="29" spans="1:3" x14ac:dyDescent="0.35">
      <c r="A29" s="5" t="s">
        <v>1986</v>
      </c>
      <c r="B29" s="13">
        <v>121748.75954198473</v>
      </c>
      <c r="C29" s="12">
        <v>1</v>
      </c>
    </row>
    <row r="52" spans="1:2" x14ac:dyDescent="0.35">
      <c r="A52" s="9" t="s">
        <v>1985</v>
      </c>
      <c r="B52" t="s">
        <v>1992</v>
      </c>
    </row>
    <row r="53" spans="1:2" x14ac:dyDescent="0.35">
      <c r="A53" s="5" t="s">
        <v>17</v>
      </c>
      <c r="B53" s="13">
        <v>112314.17953667954</v>
      </c>
    </row>
    <row r="54" spans="1:2" x14ac:dyDescent="0.35">
      <c r="A54" s="5" t="s">
        <v>28</v>
      </c>
      <c r="B54" s="13">
        <v>114188.00829875519</v>
      </c>
    </row>
    <row r="55" spans="1:2" x14ac:dyDescent="0.35">
      <c r="A55" s="5" t="s">
        <v>1986</v>
      </c>
      <c r="B55" s="13">
        <v>113217.36500000001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Q1001"/>
  <sheetViews>
    <sheetView topLeftCell="F979" zoomScale="85" zoomScaleNormal="85" workbookViewId="0">
      <selection activeCell="L1" sqref="L1:L1048576"/>
    </sheetView>
  </sheetViews>
  <sheetFormatPr defaultRowHeight="14.5" x14ac:dyDescent="0.35"/>
  <cols>
    <col min="1" max="1" width="7.1796875" bestFit="1" customWidth="1"/>
    <col min="2" max="2" width="20.54296875" bestFit="1" customWidth="1"/>
    <col min="3" max="3" width="27.7265625" bestFit="1" customWidth="1"/>
    <col min="4" max="4" width="16.81640625" bestFit="1" customWidth="1"/>
    <col min="5" max="5" width="23.81640625" bestFit="1" customWidth="1"/>
    <col min="6" max="6" width="10" bestFit="1" customWidth="1"/>
    <col min="7" max="7" width="11" bestFit="1" customWidth="1"/>
    <col min="8" max="8" width="6.7265625" bestFit="1" customWidth="1"/>
    <col min="9" max="9" width="6.7265625" customWidth="1"/>
    <col min="10" max="10" width="11.7265625" style="1" bestFit="1" customWidth="1"/>
    <col min="11" max="12" width="11.54296875" customWidth="1"/>
    <col min="13" max="13" width="15.453125" style="7" bestFit="1" customWidth="1"/>
    <col min="14" max="14" width="10.7265625" bestFit="1" customWidth="1"/>
    <col min="15" max="15" width="12.81640625" bestFit="1" customWidth="1"/>
    <col min="16" max="16" width="13.54296875" bestFit="1" customWidth="1"/>
    <col min="17" max="17" width="11.1796875" bestFit="1" customWidth="1"/>
  </cols>
  <sheetData>
    <row r="1" spans="1:17" s="5" customFormat="1" x14ac:dyDescent="0.35">
      <c r="A1" s="2" t="s">
        <v>0</v>
      </c>
      <c r="B1" s="3" t="s">
        <v>1</v>
      </c>
      <c r="C1" s="3" t="s">
        <v>2</v>
      </c>
      <c r="D1" s="3" t="s">
        <v>3</v>
      </c>
      <c r="E1" s="3" t="s">
        <v>4</v>
      </c>
      <c r="F1" s="3" t="s">
        <v>5</v>
      </c>
      <c r="G1" s="3" t="s">
        <v>6</v>
      </c>
      <c r="H1" s="3" t="s">
        <v>7</v>
      </c>
      <c r="I1" s="3" t="s">
        <v>1982</v>
      </c>
      <c r="J1" s="10" t="s">
        <v>8</v>
      </c>
      <c r="K1" s="3" t="s">
        <v>1987</v>
      </c>
      <c r="L1" s="3" t="s">
        <v>1988</v>
      </c>
      <c r="M1" s="6" t="s">
        <v>9</v>
      </c>
      <c r="N1" s="3" t="s">
        <v>10</v>
      </c>
      <c r="O1" s="3" t="s">
        <v>11</v>
      </c>
      <c r="P1" s="3" t="s">
        <v>12</v>
      </c>
      <c r="Q1" s="4" t="s">
        <v>13</v>
      </c>
    </row>
    <row r="2" spans="1:17" x14ac:dyDescent="0.35">
      <c r="A2" t="s">
        <v>410</v>
      </c>
      <c r="B2" t="s">
        <v>411</v>
      </c>
      <c r="C2" t="s">
        <v>61</v>
      </c>
      <c r="D2" t="s">
        <v>27</v>
      </c>
      <c r="E2" t="s">
        <v>16</v>
      </c>
      <c r="F2" t="s">
        <v>17</v>
      </c>
      <c r="G2" t="s">
        <v>47</v>
      </c>
      <c r="H2">
        <v>55</v>
      </c>
      <c r="I2" t="str">
        <f>IF(TBL[[#This Row],[Age]]&gt;=60, "Old", IF(TBL[[#This Row],[Age]]&gt;=30, "Adult", "Young"))</f>
        <v>Adult</v>
      </c>
      <c r="J2" s="1">
        <v>42468</v>
      </c>
      <c r="K2">
        <f t="shared" ref="K2:K65" si="0">YEAR(--J2)</f>
        <v>2016</v>
      </c>
      <c r="L2">
        <f>MONTH(TBL[[#This Row],[Hire Date]])</f>
        <v>4</v>
      </c>
      <c r="M2" s="7">
        <v>141604</v>
      </c>
      <c r="N2" s="8">
        <v>0.15</v>
      </c>
      <c r="O2" t="s">
        <v>19</v>
      </c>
      <c r="P2" t="s">
        <v>63</v>
      </c>
      <c r="Q2" s="1">
        <v>44485</v>
      </c>
    </row>
    <row r="3" spans="1:17" x14ac:dyDescent="0.35">
      <c r="A3" t="s">
        <v>412</v>
      </c>
      <c r="B3" t="s">
        <v>413</v>
      </c>
      <c r="C3" t="s">
        <v>55</v>
      </c>
      <c r="D3" t="s">
        <v>27</v>
      </c>
      <c r="E3" t="s">
        <v>36</v>
      </c>
      <c r="F3" t="s">
        <v>28</v>
      </c>
      <c r="G3" t="s">
        <v>24</v>
      </c>
      <c r="H3">
        <v>59</v>
      </c>
      <c r="I3" t="str">
        <f>IF(TBL[[#This Row],[Age]]&gt;=60, "Old", IF(TBL[[#This Row],[Age]]&gt;=30, "Adult", "Young"))</f>
        <v>Adult</v>
      </c>
      <c r="J3" s="1">
        <v>35763</v>
      </c>
      <c r="K3">
        <f t="shared" si="0"/>
        <v>1997</v>
      </c>
      <c r="L3">
        <f>MONTH(TBL[[#This Row],[Hire Date]])</f>
        <v>11</v>
      </c>
      <c r="M3" s="7">
        <v>99975</v>
      </c>
      <c r="N3" s="8">
        <v>0</v>
      </c>
      <c r="O3" t="s">
        <v>33</v>
      </c>
      <c r="P3" t="s">
        <v>80</v>
      </c>
      <c r="Q3" s="1" t="s">
        <v>21</v>
      </c>
    </row>
    <row r="4" spans="1:17" x14ac:dyDescent="0.35">
      <c r="A4" t="s">
        <v>57</v>
      </c>
      <c r="B4" t="s">
        <v>414</v>
      </c>
      <c r="C4" t="s">
        <v>40</v>
      </c>
      <c r="D4" t="s">
        <v>15</v>
      </c>
      <c r="E4" t="s">
        <v>44</v>
      </c>
      <c r="F4" t="s">
        <v>17</v>
      </c>
      <c r="G4" t="s">
        <v>18</v>
      </c>
      <c r="H4">
        <v>50</v>
      </c>
      <c r="I4" t="str">
        <f>IF(TBL[[#This Row],[Age]]&gt;=60, "Old", IF(TBL[[#This Row],[Age]]&gt;=30, "Adult", "Young"))</f>
        <v>Adult</v>
      </c>
      <c r="J4" s="1">
        <v>39016</v>
      </c>
      <c r="K4">
        <f t="shared" si="0"/>
        <v>2006</v>
      </c>
      <c r="L4">
        <f>MONTH(TBL[[#This Row],[Hire Date]])</f>
        <v>10</v>
      </c>
      <c r="M4" s="7">
        <v>163099</v>
      </c>
      <c r="N4" s="8">
        <v>0.2</v>
      </c>
      <c r="O4" t="s">
        <v>19</v>
      </c>
      <c r="P4" t="s">
        <v>20</v>
      </c>
      <c r="Q4" s="1" t="s">
        <v>21</v>
      </c>
    </row>
    <row r="5" spans="1:17" x14ac:dyDescent="0.35">
      <c r="A5" t="s">
        <v>100</v>
      </c>
      <c r="B5" t="s">
        <v>415</v>
      </c>
      <c r="C5" t="s">
        <v>56</v>
      </c>
      <c r="D5" t="s">
        <v>27</v>
      </c>
      <c r="E5" t="s">
        <v>36</v>
      </c>
      <c r="F5" t="s">
        <v>17</v>
      </c>
      <c r="G5" t="s">
        <v>18</v>
      </c>
      <c r="H5">
        <v>26</v>
      </c>
      <c r="I5" t="str">
        <f>IF(TBL[[#This Row],[Age]]&gt;=60, "Old", IF(TBL[[#This Row],[Age]]&gt;=30, "Adult", "Young"))</f>
        <v>Young</v>
      </c>
      <c r="J5" s="1">
        <v>43735</v>
      </c>
      <c r="K5">
        <f t="shared" si="0"/>
        <v>2019</v>
      </c>
      <c r="L5">
        <f>MONTH(TBL[[#This Row],[Hire Date]])</f>
        <v>9</v>
      </c>
      <c r="M5" s="7">
        <v>84913</v>
      </c>
      <c r="N5" s="8">
        <v>7.0000000000000007E-2</v>
      </c>
      <c r="O5" t="s">
        <v>19</v>
      </c>
      <c r="P5" t="s">
        <v>20</v>
      </c>
      <c r="Q5" s="1" t="s">
        <v>21</v>
      </c>
    </row>
    <row r="6" spans="1:17" x14ac:dyDescent="0.35">
      <c r="A6" t="s">
        <v>362</v>
      </c>
      <c r="B6" t="s">
        <v>416</v>
      </c>
      <c r="C6" t="s">
        <v>42</v>
      </c>
      <c r="D6" t="s">
        <v>15</v>
      </c>
      <c r="E6" t="s">
        <v>36</v>
      </c>
      <c r="F6" t="s">
        <v>28</v>
      </c>
      <c r="G6" t="s">
        <v>24</v>
      </c>
      <c r="H6">
        <v>55</v>
      </c>
      <c r="I6" t="str">
        <f>IF(TBL[[#This Row],[Age]]&gt;=60, "Old", IF(TBL[[#This Row],[Age]]&gt;=30, "Adult", "Young"))</f>
        <v>Adult</v>
      </c>
      <c r="J6" s="1">
        <v>35023</v>
      </c>
      <c r="K6">
        <f t="shared" si="0"/>
        <v>1995</v>
      </c>
      <c r="L6">
        <f>MONTH(TBL[[#This Row],[Hire Date]])</f>
        <v>11</v>
      </c>
      <c r="M6" s="7">
        <v>95409</v>
      </c>
      <c r="N6" s="8">
        <v>0</v>
      </c>
      <c r="O6" t="s">
        <v>19</v>
      </c>
      <c r="P6" t="s">
        <v>39</v>
      </c>
      <c r="Q6" s="1" t="s">
        <v>21</v>
      </c>
    </row>
    <row r="7" spans="1:17" x14ac:dyDescent="0.35">
      <c r="A7" t="s">
        <v>417</v>
      </c>
      <c r="B7" t="s">
        <v>418</v>
      </c>
      <c r="C7" t="s">
        <v>94</v>
      </c>
      <c r="D7" t="s">
        <v>50</v>
      </c>
      <c r="E7" t="s">
        <v>32</v>
      </c>
      <c r="F7" t="s">
        <v>28</v>
      </c>
      <c r="G7" t="s">
        <v>24</v>
      </c>
      <c r="H7">
        <v>57</v>
      </c>
      <c r="I7" t="str">
        <f>IF(TBL[[#This Row],[Age]]&gt;=60, "Old", IF(TBL[[#This Row],[Age]]&gt;=30, "Adult", "Young"))</f>
        <v>Adult</v>
      </c>
      <c r="J7" s="1">
        <v>42759</v>
      </c>
      <c r="K7">
        <f t="shared" si="0"/>
        <v>2017</v>
      </c>
      <c r="L7">
        <f>MONTH(TBL[[#This Row],[Hire Date]])</f>
        <v>1</v>
      </c>
      <c r="M7" s="7">
        <v>50994</v>
      </c>
      <c r="N7" s="8">
        <v>0</v>
      </c>
      <c r="O7" t="s">
        <v>33</v>
      </c>
      <c r="P7" t="s">
        <v>80</v>
      </c>
      <c r="Q7" s="1" t="s">
        <v>21</v>
      </c>
    </row>
    <row r="8" spans="1:17" x14ac:dyDescent="0.35">
      <c r="A8" t="s">
        <v>99</v>
      </c>
      <c r="B8" t="s">
        <v>257</v>
      </c>
      <c r="C8" t="s">
        <v>62</v>
      </c>
      <c r="D8" t="s">
        <v>27</v>
      </c>
      <c r="E8" t="s">
        <v>32</v>
      </c>
      <c r="F8" t="s">
        <v>17</v>
      </c>
      <c r="G8" t="s">
        <v>18</v>
      </c>
      <c r="H8">
        <v>27</v>
      </c>
      <c r="I8" t="str">
        <f>IF(TBL[[#This Row],[Age]]&gt;=60, "Old", IF(TBL[[#This Row],[Age]]&gt;=30, "Adult", "Young"))</f>
        <v>Young</v>
      </c>
      <c r="J8" s="1">
        <v>44013</v>
      </c>
      <c r="K8">
        <f t="shared" si="0"/>
        <v>2020</v>
      </c>
      <c r="L8">
        <f>MONTH(TBL[[#This Row],[Hire Date]])</f>
        <v>7</v>
      </c>
      <c r="M8" s="7">
        <v>119746</v>
      </c>
      <c r="N8" s="8">
        <v>0.1</v>
      </c>
      <c r="O8" t="s">
        <v>19</v>
      </c>
      <c r="P8" t="s">
        <v>39</v>
      </c>
      <c r="Q8" s="1" t="s">
        <v>21</v>
      </c>
    </row>
    <row r="9" spans="1:17" x14ac:dyDescent="0.35">
      <c r="A9" t="s">
        <v>296</v>
      </c>
      <c r="B9" t="s">
        <v>419</v>
      </c>
      <c r="C9" t="s">
        <v>68</v>
      </c>
      <c r="D9" t="s">
        <v>15</v>
      </c>
      <c r="E9" t="s">
        <v>36</v>
      </c>
      <c r="F9" t="s">
        <v>28</v>
      </c>
      <c r="G9" t="s">
        <v>47</v>
      </c>
      <c r="H9">
        <v>25</v>
      </c>
      <c r="I9" t="str">
        <f>IF(TBL[[#This Row],[Age]]&gt;=60, "Old", IF(TBL[[#This Row],[Age]]&gt;=30, "Adult", "Young"))</f>
        <v>Young</v>
      </c>
      <c r="J9" s="1">
        <v>43967</v>
      </c>
      <c r="K9">
        <f t="shared" si="0"/>
        <v>2020</v>
      </c>
      <c r="L9">
        <f>MONTH(TBL[[#This Row],[Hire Date]])</f>
        <v>5</v>
      </c>
      <c r="M9" s="7">
        <v>41336</v>
      </c>
      <c r="N9" s="8">
        <v>0</v>
      </c>
      <c r="O9" t="s">
        <v>19</v>
      </c>
      <c r="P9" t="s">
        <v>45</v>
      </c>
      <c r="Q9" s="1">
        <v>44336</v>
      </c>
    </row>
    <row r="10" spans="1:17" x14ac:dyDescent="0.35">
      <c r="A10" t="s">
        <v>420</v>
      </c>
      <c r="B10" t="s">
        <v>421</v>
      </c>
      <c r="C10" t="s">
        <v>62</v>
      </c>
      <c r="D10" t="s">
        <v>65</v>
      </c>
      <c r="E10" t="s">
        <v>36</v>
      </c>
      <c r="F10" t="s">
        <v>28</v>
      </c>
      <c r="G10" t="s">
        <v>18</v>
      </c>
      <c r="H10">
        <v>29</v>
      </c>
      <c r="I10" t="str">
        <f>IF(TBL[[#This Row],[Age]]&gt;=60, "Old", IF(TBL[[#This Row],[Age]]&gt;=30, "Adult", "Young"))</f>
        <v>Young</v>
      </c>
      <c r="J10" s="1">
        <v>43490</v>
      </c>
      <c r="K10">
        <f t="shared" si="0"/>
        <v>2019</v>
      </c>
      <c r="L10">
        <f>MONTH(TBL[[#This Row],[Hire Date]])</f>
        <v>1</v>
      </c>
      <c r="M10" s="7">
        <v>113527</v>
      </c>
      <c r="N10" s="8">
        <v>0.06</v>
      </c>
      <c r="O10" t="s">
        <v>19</v>
      </c>
      <c r="P10" t="s">
        <v>25</v>
      </c>
      <c r="Q10" s="1" t="s">
        <v>21</v>
      </c>
    </row>
    <row r="11" spans="1:17" x14ac:dyDescent="0.35">
      <c r="A11" t="s">
        <v>422</v>
      </c>
      <c r="B11" t="s">
        <v>423</v>
      </c>
      <c r="C11" t="s">
        <v>42</v>
      </c>
      <c r="D11" t="s">
        <v>15</v>
      </c>
      <c r="E11" t="s">
        <v>44</v>
      </c>
      <c r="F11" t="s">
        <v>17</v>
      </c>
      <c r="G11" t="s">
        <v>18</v>
      </c>
      <c r="H11">
        <v>34</v>
      </c>
      <c r="I11" t="str">
        <f>IF(TBL[[#This Row],[Age]]&gt;=60, "Old", IF(TBL[[#This Row],[Age]]&gt;=30, "Adult", "Young"))</f>
        <v>Adult</v>
      </c>
      <c r="J11" s="1">
        <v>43264</v>
      </c>
      <c r="K11">
        <f t="shared" si="0"/>
        <v>2018</v>
      </c>
      <c r="L11">
        <f>MONTH(TBL[[#This Row],[Hire Date]])</f>
        <v>6</v>
      </c>
      <c r="M11" s="7">
        <v>77203</v>
      </c>
      <c r="N11" s="8">
        <v>0</v>
      </c>
      <c r="O11" t="s">
        <v>19</v>
      </c>
      <c r="P11" t="s">
        <v>20</v>
      </c>
      <c r="Q11" s="1" t="s">
        <v>21</v>
      </c>
    </row>
    <row r="12" spans="1:17" x14ac:dyDescent="0.35">
      <c r="A12" t="s">
        <v>174</v>
      </c>
      <c r="B12" t="s">
        <v>424</v>
      </c>
      <c r="C12" t="s">
        <v>61</v>
      </c>
      <c r="D12" t="s">
        <v>23</v>
      </c>
      <c r="E12" t="s">
        <v>36</v>
      </c>
      <c r="F12" t="s">
        <v>17</v>
      </c>
      <c r="G12" t="s">
        <v>24</v>
      </c>
      <c r="H12">
        <v>36</v>
      </c>
      <c r="I12" t="str">
        <f>IF(TBL[[#This Row],[Age]]&gt;=60, "Old", IF(TBL[[#This Row],[Age]]&gt;=30, "Adult", "Young"))</f>
        <v>Adult</v>
      </c>
      <c r="J12" s="1">
        <v>39855</v>
      </c>
      <c r="K12">
        <f t="shared" si="0"/>
        <v>2009</v>
      </c>
      <c r="L12">
        <f>MONTH(TBL[[#This Row],[Hire Date]])</f>
        <v>2</v>
      </c>
      <c r="M12" s="7">
        <v>157333</v>
      </c>
      <c r="N12" s="8">
        <v>0.15</v>
      </c>
      <c r="O12" t="s">
        <v>19</v>
      </c>
      <c r="P12" t="s">
        <v>45</v>
      </c>
      <c r="Q12" s="1" t="s">
        <v>21</v>
      </c>
    </row>
    <row r="13" spans="1:17" x14ac:dyDescent="0.35">
      <c r="A13" t="s">
        <v>425</v>
      </c>
      <c r="B13" t="s">
        <v>426</v>
      </c>
      <c r="C13" t="s">
        <v>84</v>
      </c>
      <c r="D13" t="s">
        <v>31</v>
      </c>
      <c r="E13" t="s">
        <v>44</v>
      </c>
      <c r="F13" t="s">
        <v>17</v>
      </c>
      <c r="G13" t="s">
        <v>18</v>
      </c>
      <c r="H13">
        <v>27</v>
      </c>
      <c r="I13" t="str">
        <f>IF(TBL[[#This Row],[Age]]&gt;=60, "Old", IF(TBL[[#This Row],[Age]]&gt;=30, "Adult", "Young"))</f>
        <v>Young</v>
      </c>
      <c r="J13" s="1">
        <v>44490</v>
      </c>
      <c r="K13">
        <f t="shared" si="0"/>
        <v>2021</v>
      </c>
      <c r="L13">
        <f>MONTH(TBL[[#This Row],[Hire Date]])</f>
        <v>10</v>
      </c>
      <c r="M13" s="7">
        <v>109851</v>
      </c>
      <c r="N13" s="8">
        <v>0</v>
      </c>
      <c r="O13" t="s">
        <v>19</v>
      </c>
      <c r="P13" t="s">
        <v>63</v>
      </c>
      <c r="Q13" s="1" t="s">
        <v>21</v>
      </c>
    </row>
    <row r="14" spans="1:17" x14ac:dyDescent="0.35">
      <c r="A14" t="s">
        <v>46</v>
      </c>
      <c r="B14" t="s">
        <v>427</v>
      </c>
      <c r="C14" t="s">
        <v>62</v>
      </c>
      <c r="D14" t="s">
        <v>23</v>
      </c>
      <c r="E14" t="s">
        <v>36</v>
      </c>
      <c r="F14" t="s">
        <v>28</v>
      </c>
      <c r="G14" t="s">
        <v>18</v>
      </c>
      <c r="H14">
        <v>59</v>
      </c>
      <c r="I14" t="str">
        <f>IF(TBL[[#This Row],[Age]]&gt;=60, "Old", IF(TBL[[#This Row],[Age]]&gt;=30, "Adult", "Young"))</f>
        <v>Adult</v>
      </c>
      <c r="J14" s="1">
        <v>36233</v>
      </c>
      <c r="K14">
        <f t="shared" si="0"/>
        <v>1999</v>
      </c>
      <c r="L14">
        <f>MONTH(TBL[[#This Row],[Hire Date]])</f>
        <v>3</v>
      </c>
      <c r="M14" s="7">
        <v>105086</v>
      </c>
      <c r="N14" s="8">
        <v>0.09</v>
      </c>
      <c r="O14" t="s">
        <v>19</v>
      </c>
      <c r="P14" t="s">
        <v>25</v>
      </c>
      <c r="Q14" s="1" t="s">
        <v>21</v>
      </c>
    </row>
    <row r="15" spans="1:17" x14ac:dyDescent="0.35">
      <c r="A15" t="s">
        <v>428</v>
      </c>
      <c r="B15" t="s">
        <v>429</v>
      </c>
      <c r="C15" t="s">
        <v>61</v>
      </c>
      <c r="D15" t="s">
        <v>15</v>
      </c>
      <c r="E15" t="s">
        <v>16</v>
      </c>
      <c r="F15" t="s">
        <v>17</v>
      </c>
      <c r="G15" t="s">
        <v>24</v>
      </c>
      <c r="H15">
        <v>51</v>
      </c>
      <c r="I15" t="str">
        <f>IF(TBL[[#This Row],[Age]]&gt;=60, "Old", IF(TBL[[#This Row],[Age]]&gt;=30, "Adult", "Young"))</f>
        <v>Adult</v>
      </c>
      <c r="J15" s="1">
        <v>44357</v>
      </c>
      <c r="K15">
        <f t="shared" si="0"/>
        <v>2021</v>
      </c>
      <c r="L15">
        <f>MONTH(TBL[[#This Row],[Hire Date]])</f>
        <v>6</v>
      </c>
      <c r="M15" s="7">
        <v>146742</v>
      </c>
      <c r="N15" s="8">
        <v>0.1</v>
      </c>
      <c r="O15" t="s">
        <v>33</v>
      </c>
      <c r="P15" t="s">
        <v>74</v>
      </c>
      <c r="Q15" s="1" t="s">
        <v>21</v>
      </c>
    </row>
    <row r="16" spans="1:17" x14ac:dyDescent="0.35">
      <c r="A16" t="s">
        <v>430</v>
      </c>
      <c r="B16" t="s">
        <v>431</v>
      </c>
      <c r="C16" t="s">
        <v>42</v>
      </c>
      <c r="D16" t="s">
        <v>65</v>
      </c>
      <c r="E16" t="s">
        <v>44</v>
      </c>
      <c r="F16" t="s">
        <v>28</v>
      </c>
      <c r="G16" t="s">
        <v>24</v>
      </c>
      <c r="H16">
        <v>31</v>
      </c>
      <c r="I16" t="str">
        <f>IF(TBL[[#This Row],[Age]]&gt;=60, "Old", IF(TBL[[#This Row],[Age]]&gt;=30, "Adult", "Young"))</f>
        <v>Adult</v>
      </c>
      <c r="J16" s="1">
        <v>43043</v>
      </c>
      <c r="K16">
        <f t="shared" si="0"/>
        <v>2017</v>
      </c>
      <c r="L16">
        <f>MONTH(TBL[[#This Row],[Hire Date]])</f>
        <v>11</v>
      </c>
      <c r="M16" s="7">
        <v>97078</v>
      </c>
      <c r="N16" s="8">
        <v>0</v>
      </c>
      <c r="O16" t="s">
        <v>19</v>
      </c>
      <c r="P16" t="s">
        <v>25</v>
      </c>
      <c r="Q16" s="1">
        <v>43899</v>
      </c>
    </row>
    <row r="17" spans="1:17" x14ac:dyDescent="0.35">
      <c r="A17" t="s">
        <v>432</v>
      </c>
      <c r="B17" t="s">
        <v>433</v>
      </c>
      <c r="C17" t="s">
        <v>14</v>
      </c>
      <c r="D17" t="s">
        <v>43</v>
      </c>
      <c r="E17" t="s">
        <v>16</v>
      </c>
      <c r="F17" t="s">
        <v>17</v>
      </c>
      <c r="G17" t="s">
        <v>24</v>
      </c>
      <c r="H17">
        <v>41</v>
      </c>
      <c r="I17" t="str">
        <f>IF(TBL[[#This Row],[Age]]&gt;=60, "Old", IF(TBL[[#This Row],[Age]]&gt;=30, "Adult", "Young"))</f>
        <v>Adult</v>
      </c>
      <c r="J17" s="1">
        <v>41346</v>
      </c>
      <c r="K17">
        <f t="shared" si="0"/>
        <v>2013</v>
      </c>
      <c r="L17">
        <f>MONTH(TBL[[#This Row],[Hire Date]])</f>
        <v>3</v>
      </c>
      <c r="M17" s="7">
        <v>249270</v>
      </c>
      <c r="N17" s="8">
        <v>0.3</v>
      </c>
      <c r="O17" t="s">
        <v>19</v>
      </c>
      <c r="P17" t="s">
        <v>63</v>
      </c>
      <c r="Q17" s="1" t="s">
        <v>21</v>
      </c>
    </row>
    <row r="18" spans="1:17" x14ac:dyDescent="0.35">
      <c r="A18" t="s">
        <v>434</v>
      </c>
      <c r="B18" t="s">
        <v>435</v>
      </c>
      <c r="C18" t="s">
        <v>40</v>
      </c>
      <c r="D18" t="s">
        <v>15</v>
      </c>
      <c r="E18" t="s">
        <v>16</v>
      </c>
      <c r="F18" t="s">
        <v>17</v>
      </c>
      <c r="G18" t="s">
        <v>47</v>
      </c>
      <c r="H18">
        <v>65</v>
      </c>
      <c r="I18" t="str">
        <f>IF(TBL[[#This Row],[Age]]&gt;=60, "Old", IF(TBL[[#This Row],[Age]]&gt;=30, "Adult", "Young"))</f>
        <v>Old</v>
      </c>
      <c r="J18" s="1">
        <v>37319</v>
      </c>
      <c r="K18">
        <f t="shared" si="0"/>
        <v>2002</v>
      </c>
      <c r="L18">
        <f>MONTH(TBL[[#This Row],[Hire Date]])</f>
        <v>3</v>
      </c>
      <c r="M18" s="7">
        <v>175837</v>
      </c>
      <c r="N18" s="8">
        <v>0.2</v>
      </c>
      <c r="O18" t="s">
        <v>19</v>
      </c>
      <c r="P18" t="s">
        <v>39</v>
      </c>
      <c r="Q18" s="1" t="s">
        <v>21</v>
      </c>
    </row>
    <row r="19" spans="1:17" x14ac:dyDescent="0.35">
      <c r="A19" t="s">
        <v>436</v>
      </c>
      <c r="B19" t="s">
        <v>437</v>
      </c>
      <c r="C19" t="s">
        <v>61</v>
      </c>
      <c r="D19" t="s">
        <v>43</v>
      </c>
      <c r="E19" t="s">
        <v>44</v>
      </c>
      <c r="F19" t="s">
        <v>17</v>
      </c>
      <c r="G19" t="s">
        <v>51</v>
      </c>
      <c r="H19">
        <v>64</v>
      </c>
      <c r="I19" t="str">
        <f>IF(TBL[[#This Row],[Age]]&gt;=60, "Old", IF(TBL[[#This Row],[Age]]&gt;=30, "Adult", "Young"))</f>
        <v>Old</v>
      </c>
      <c r="J19" s="1">
        <v>37956</v>
      </c>
      <c r="K19">
        <f t="shared" si="0"/>
        <v>2003</v>
      </c>
      <c r="L19">
        <f>MONTH(TBL[[#This Row],[Hire Date]])</f>
        <v>12</v>
      </c>
      <c r="M19" s="7">
        <v>154828</v>
      </c>
      <c r="N19" s="8">
        <v>0.13</v>
      </c>
      <c r="O19" t="s">
        <v>19</v>
      </c>
      <c r="P19" t="s">
        <v>63</v>
      </c>
      <c r="Q19" s="1" t="s">
        <v>21</v>
      </c>
    </row>
    <row r="20" spans="1:17" x14ac:dyDescent="0.35">
      <c r="A20" t="s">
        <v>438</v>
      </c>
      <c r="B20" t="s">
        <v>439</v>
      </c>
      <c r="C20" t="s">
        <v>40</v>
      </c>
      <c r="D20" t="s">
        <v>27</v>
      </c>
      <c r="E20" t="s">
        <v>32</v>
      </c>
      <c r="F20" t="s">
        <v>28</v>
      </c>
      <c r="G20" t="s">
        <v>18</v>
      </c>
      <c r="H20">
        <v>64</v>
      </c>
      <c r="I20" t="str">
        <f>IF(TBL[[#This Row],[Age]]&gt;=60, "Old", IF(TBL[[#This Row],[Age]]&gt;=30, "Adult", "Young"))</f>
        <v>Old</v>
      </c>
      <c r="J20" s="1">
        <v>41581</v>
      </c>
      <c r="K20">
        <f t="shared" si="0"/>
        <v>2013</v>
      </c>
      <c r="L20">
        <f>MONTH(TBL[[#This Row],[Hire Date]])</f>
        <v>11</v>
      </c>
      <c r="M20" s="7">
        <v>186503</v>
      </c>
      <c r="N20" s="8">
        <v>0.24</v>
      </c>
      <c r="O20" t="s">
        <v>19</v>
      </c>
      <c r="P20" t="s">
        <v>29</v>
      </c>
      <c r="Q20" s="1" t="s">
        <v>21</v>
      </c>
    </row>
    <row r="21" spans="1:17" x14ac:dyDescent="0.35">
      <c r="A21" t="s">
        <v>369</v>
      </c>
      <c r="B21" t="s">
        <v>440</v>
      </c>
      <c r="C21" t="s">
        <v>40</v>
      </c>
      <c r="D21" t="s">
        <v>50</v>
      </c>
      <c r="E21" t="s">
        <v>16</v>
      </c>
      <c r="F21" t="s">
        <v>28</v>
      </c>
      <c r="G21" t="s">
        <v>24</v>
      </c>
      <c r="H21">
        <v>45</v>
      </c>
      <c r="I21" t="str">
        <f>IF(TBL[[#This Row],[Age]]&gt;=60, "Old", IF(TBL[[#This Row],[Age]]&gt;=30, "Adult", "Young"))</f>
        <v>Adult</v>
      </c>
      <c r="J21" s="1">
        <v>37446</v>
      </c>
      <c r="K21">
        <f t="shared" si="0"/>
        <v>2002</v>
      </c>
      <c r="L21">
        <f>MONTH(TBL[[#This Row],[Hire Date]])</f>
        <v>7</v>
      </c>
      <c r="M21" s="7">
        <v>166331</v>
      </c>
      <c r="N21" s="8">
        <v>0.18</v>
      </c>
      <c r="O21" t="s">
        <v>33</v>
      </c>
      <c r="P21" t="s">
        <v>80</v>
      </c>
      <c r="Q21" s="1" t="s">
        <v>21</v>
      </c>
    </row>
    <row r="22" spans="1:17" x14ac:dyDescent="0.35">
      <c r="A22" t="s">
        <v>382</v>
      </c>
      <c r="B22" t="s">
        <v>441</v>
      </c>
      <c r="C22" t="s">
        <v>61</v>
      </c>
      <c r="D22" t="s">
        <v>27</v>
      </c>
      <c r="E22" t="s">
        <v>36</v>
      </c>
      <c r="F22" t="s">
        <v>28</v>
      </c>
      <c r="G22" t="s">
        <v>51</v>
      </c>
      <c r="H22">
        <v>56</v>
      </c>
      <c r="I22" t="str">
        <f>IF(TBL[[#This Row],[Age]]&gt;=60, "Old", IF(TBL[[#This Row],[Age]]&gt;=30, "Adult", "Young"))</f>
        <v>Adult</v>
      </c>
      <c r="J22" s="1">
        <v>40917</v>
      </c>
      <c r="K22">
        <f t="shared" si="0"/>
        <v>2012</v>
      </c>
      <c r="L22">
        <f>MONTH(TBL[[#This Row],[Hire Date]])</f>
        <v>1</v>
      </c>
      <c r="M22" s="7">
        <v>146140</v>
      </c>
      <c r="N22" s="8">
        <v>0.1</v>
      </c>
      <c r="O22" t="s">
        <v>52</v>
      </c>
      <c r="P22" t="s">
        <v>81</v>
      </c>
      <c r="Q22" s="1" t="s">
        <v>21</v>
      </c>
    </row>
    <row r="23" spans="1:17" x14ac:dyDescent="0.35">
      <c r="A23" t="s">
        <v>340</v>
      </c>
      <c r="B23" t="s">
        <v>442</v>
      </c>
      <c r="C23" t="s">
        <v>40</v>
      </c>
      <c r="D23" t="s">
        <v>50</v>
      </c>
      <c r="E23" t="s">
        <v>36</v>
      </c>
      <c r="F23" t="s">
        <v>17</v>
      </c>
      <c r="G23" t="s">
        <v>51</v>
      </c>
      <c r="H23">
        <v>36</v>
      </c>
      <c r="I23" t="str">
        <f>IF(TBL[[#This Row],[Age]]&gt;=60, "Old", IF(TBL[[#This Row],[Age]]&gt;=30, "Adult", "Young"))</f>
        <v>Adult</v>
      </c>
      <c r="J23" s="1">
        <v>44288</v>
      </c>
      <c r="K23">
        <f t="shared" si="0"/>
        <v>2021</v>
      </c>
      <c r="L23">
        <f>MONTH(TBL[[#This Row],[Hire Date]])</f>
        <v>4</v>
      </c>
      <c r="M23" s="7">
        <v>151703</v>
      </c>
      <c r="N23" s="8">
        <v>0.21</v>
      </c>
      <c r="O23" t="s">
        <v>19</v>
      </c>
      <c r="P23" t="s">
        <v>45</v>
      </c>
      <c r="Q23" s="1" t="s">
        <v>21</v>
      </c>
    </row>
    <row r="24" spans="1:17" x14ac:dyDescent="0.35">
      <c r="A24" t="s">
        <v>443</v>
      </c>
      <c r="B24" t="s">
        <v>444</v>
      </c>
      <c r="C24" t="s">
        <v>40</v>
      </c>
      <c r="D24" t="s">
        <v>27</v>
      </c>
      <c r="E24" t="s">
        <v>16</v>
      </c>
      <c r="F24" t="s">
        <v>28</v>
      </c>
      <c r="G24" t="s">
        <v>51</v>
      </c>
      <c r="H24">
        <v>59</v>
      </c>
      <c r="I24" t="str">
        <f>IF(TBL[[#This Row],[Age]]&gt;=60, "Old", IF(TBL[[#This Row],[Age]]&gt;=30, "Adult", "Young"))</f>
        <v>Adult</v>
      </c>
      <c r="J24" s="1">
        <v>37400</v>
      </c>
      <c r="K24">
        <f t="shared" si="0"/>
        <v>2002</v>
      </c>
      <c r="L24">
        <f>MONTH(TBL[[#This Row],[Hire Date]])</f>
        <v>5</v>
      </c>
      <c r="M24" s="7">
        <v>172787</v>
      </c>
      <c r="N24" s="8">
        <v>0.28000000000000003</v>
      </c>
      <c r="O24" t="s">
        <v>52</v>
      </c>
      <c r="P24" t="s">
        <v>66</v>
      </c>
      <c r="Q24" s="1" t="s">
        <v>21</v>
      </c>
    </row>
    <row r="25" spans="1:17" x14ac:dyDescent="0.35">
      <c r="A25" t="s">
        <v>445</v>
      </c>
      <c r="B25" t="s">
        <v>446</v>
      </c>
      <c r="C25" t="s">
        <v>68</v>
      </c>
      <c r="D25" t="s">
        <v>50</v>
      </c>
      <c r="E25" t="s">
        <v>44</v>
      </c>
      <c r="F25" t="s">
        <v>28</v>
      </c>
      <c r="G25" t="s">
        <v>18</v>
      </c>
      <c r="H25">
        <v>37</v>
      </c>
      <c r="I25" t="str">
        <f>IF(TBL[[#This Row],[Age]]&gt;=60, "Old", IF(TBL[[#This Row],[Age]]&gt;=30, "Adult", "Young"))</f>
        <v>Adult</v>
      </c>
      <c r="J25" s="1">
        <v>43713</v>
      </c>
      <c r="K25">
        <f t="shared" si="0"/>
        <v>2019</v>
      </c>
      <c r="L25">
        <f>MONTH(TBL[[#This Row],[Hire Date]])</f>
        <v>9</v>
      </c>
      <c r="M25" s="7">
        <v>49998</v>
      </c>
      <c r="N25" s="8">
        <v>0</v>
      </c>
      <c r="O25" t="s">
        <v>19</v>
      </c>
      <c r="P25" t="s">
        <v>63</v>
      </c>
      <c r="Q25" s="1" t="s">
        <v>21</v>
      </c>
    </row>
    <row r="26" spans="1:17" x14ac:dyDescent="0.35">
      <c r="A26" t="s">
        <v>231</v>
      </c>
      <c r="B26" t="s">
        <v>447</v>
      </c>
      <c r="C26" t="s">
        <v>14</v>
      </c>
      <c r="D26" t="s">
        <v>50</v>
      </c>
      <c r="E26" t="s">
        <v>44</v>
      </c>
      <c r="F26" t="s">
        <v>28</v>
      </c>
      <c r="G26" t="s">
        <v>24</v>
      </c>
      <c r="H26">
        <v>44</v>
      </c>
      <c r="I26" t="str">
        <f>IF(TBL[[#This Row],[Age]]&gt;=60, "Old", IF(TBL[[#This Row],[Age]]&gt;=30, "Adult", "Young"))</f>
        <v>Adult</v>
      </c>
      <c r="J26" s="1">
        <v>41700</v>
      </c>
      <c r="K26">
        <f t="shared" si="0"/>
        <v>2014</v>
      </c>
      <c r="L26">
        <f>MONTH(TBL[[#This Row],[Hire Date]])</f>
        <v>3</v>
      </c>
      <c r="M26" s="7">
        <v>207172</v>
      </c>
      <c r="N26" s="8">
        <v>0.31</v>
      </c>
      <c r="O26" t="s">
        <v>33</v>
      </c>
      <c r="P26" t="s">
        <v>80</v>
      </c>
      <c r="Q26" s="1" t="s">
        <v>21</v>
      </c>
    </row>
    <row r="27" spans="1:17" x14ac:dyDescent="0.35">
      <c r="A27" t="s">
        <v>448</v>
      </c>
      <c r="B27" t="s">
        <v>449</v>
      </c>
      <c r="C27" t="s">
        <v>40</v>
      </c>
      <c r="D27" t="s">
        <v>23</v>
      </c>
      <c r="E27" t="s">
        <v>44</v>
      </c>
      <c r="F27" t="s">
        <v>28</v>
      </c>
      <c r="G27" t="s">
        <v>47</v>
      </c>
      <c r="H27">
        <v>41</v>
      </c>
      <c r="I27" t="str">
        <f>IF(TBL[[#This Row],[Age]]&gt;=60, "Old", IF(TBL[[#This Row],[Age]]&gt;=30, "Adult", "Young"))</f>
        <v>Adult</v>
      </c>
      <c r="J27" s="1">
        <v>42111</v>
      </c>
      <c r="K27">
        <f t="shared" si="0"/>
        <v>2015</v>
      </c>
      <c r="L27">
        <f>MONTH(TBL[[#This Row],[Hire Date]])</f>
        <v>4</v>
      </c>
      <c r="M27" s="7">
        <v>152239</v>
      </c>
      <c r="N27" s="8">
        <v>0.23</v>
      </c>
      <c r="O27" t="s">
        <v>19</v>
      </c>
      <c r="P27" t="s">
        <v>29</v>
      </c>
      <c r="Q27" s="1" t="s">
        <v>21</v>
      </c>
    </row>
    <row r="28" spans="1:17" x14ac:dyDescent="0.35">
      <c r="A28" t="s">
        <v>87</v>
      </c>
      <c r="B28" t="s">
        <v>450</v>
      </c>
      <c r="C28" t="s">
        <v>30</v>
      </c>
      <c r="D28" t="s">
        <v>31</v>
      </c>
      <c r="E28" t="s">
        <v>32</v>
      </c>
      <c r="F28" t="s">
        <v>17</v>
      </c>
      <c r="G28" t="s">
        <v>51</v>
      </c>
      <c r="H28">
        <v>56</v>
      </c>
      <c r="I28" t="str">
        <f>IF(TBL[[#This Row],[Age]]&gt;=60, "Old", IF(TBL[[#This Row],[Age]]&gt;=30, "Adult", "Young"))</f>
        <v>Adult</v>
      </c>
      <c r="J28" s="1">
        <v>38388</v>
      </c>
      <c r="K28">
        <f t="shared" si="0"/>
        <v>2005</v>
      </c>
      <c r="L28">
        <f>MONTH(TBL[[#This Row],[Hire Date]])</f>
        <v>2</v>
      </c>
      <c r="M28" s="7">
        <v>98581</v>
      </c>
      <c r="N28" s="8">
        <v>0</v>
      </c>
      <c r="O28" t="s">
        <v>52</v>
      </c>
      <c r="P28" t="s">
        <v>66</v>
      </c>
      <c r="Q28" s="1" t="s">
        <v>21</v>
      </c>
    </row>
    <row r="29" spans="1:17" x14ac:dyDescent="0.35">
      <c r="A29" t="s">
        <v>293</v>
      </c>
      <c r="B29" t="s">
        <v>451</v>
      </c>
      <c r="C29" t="s">
        <v>14</v>
      </c>
      <c r="D29" t="s">
        <v>31</v>
      </c>
      <c r="E29" t="s">
        <v>44</v>
      </c>
      <c r="F29" t="s">
        <v>28</v>
      </c>
      <c r="G29" t="s">
        <v>24</v>
      </c>
      <c r="H29">
        <v>43</v>
      </c>
      <c r="I29" t="str">
        <f>IF(TBL[[#This Row],[Age]]&gt;=60, "Old", IF(TBL[[#This Row],[Age]]&gt;=30, "Adult", "Young"))</f>
        <v>Adult</v>
      </c>
      <c r="J29" s="1">
        <v>38145</v>
      </c>
      <c r="K29">
        <f t="shared" si="0"/>
        <v>2004</v>
      </c>
      <c r="L29">
        <f>MONTH(TBL[[#This Row],[Hire Date]])</f>
        <v>6</v>
      </c>
      <c r="M29" s="7">
        <v>246231</v>
      </c>
      <c r="N29" s="8">
        <v>0.31</v>
      </c>
      <c r="O29" t="s">
        <v>19</v>
      </c>
      <c r="P29" t="s">
        <v>63</v>
      </c>
      <c r="Q29" s="1" t="s">
        <v>21</v>
      </c>
    </row>
    <row r="30" spans="1:17" x14ac:dyDescent="0.35">
      <c r="A30" t="s">
        <v>452</v>
      </c>
      <c r="B30" t="s">
        <v>453</v>
      </c>
      <c r="C30" t="s">
        <v>97</v>
      </c>
      <c r="D30" t="s">
        <v>31</v>
      </c>
      <c r="E30" t="s">
        <v>44</v>
      </c>
      <c r="F30" t="s">
        <v>28</v>
      </c>
      <c r="G30" t="s">
        <v>24</v>
      </c>
      <c r="H30">
        <v>64</v>
      </c>
      <c r="I30" t="str">
        <f>IF(TBL[[#This Row],[Age]]&gt;=60, "Old", IF(TBL[[#This Row],[Age]]&gt;=30, "Adult", "Young"))</f>
        <v>Old</v>
      </c>
      <c r="J30" s="1">
        <v>35403</v>
      </c>
      <c r="K30">
        <f t="shared" si="0"/>
        <v>1996</v>
      </c>
      <c r="L30">
        <f>MONTH(TBL[[#This Row],[Hire Date]])</f>
        <v>12</v>
      </c>
      <c r="M30" s="7">
        <v>99354</v>
      </c>
      <c r="N30" s="8">
        <v>0.12</v>
      </c>
      <c r="O30" t="s">
        <v>33</v>
      </c>
      <c r="P30" t="s">
        <v>60</v>
      </c>
      <c r="Q30" s="1" t="s">
        <v>21</v>
      </c>
    </row>
    <row r="31" spans="1:17" x14ac:dyDescent="0.35">
      <c r="A31" t="s">
        <v>454</v>
      </c>
      <c r="B31" t="s">
        <v>455</v>
      </c>
      <c r="C31" t="s">
        <v>14</v>
      </c>
      <c r="D31" t="s">
        <v>27</v>
      </c>
      <c r="E31" t="s">
        <v>32</v>
      </c>
      <c r="F31" t="s">
        <v>28</v>
      </c>
      <c r="G31" t="s">
        <v>24</v>
      </c>
      <c r="H31">
        <v>63</v>
      </c>
      <c r="I31" t="str">
        <f>IF(TBL[[#This Row],[Age]]&gt;=60, "Old", IF(TBL[[#This Row],[Age]]&gt;=30, "Adult", "Young"))</f>
        <v>Old</v>
      </c>
      <c r="J31" s="1">
        <v>41040</v>
      </c>
      <c r="K31">
        <f t="shared" si="0"/>
        <v>2012</v>
      </c>
      <c r="L31">
        <f>MONTH(TBL[[#This Row],[Hire Date]])</f>
        <v>5</v>
      </c>
      <c r="M31" s="7">
        <v>231141</v>
      </c>
      <c r="N31" s="8">
        <v>0.34</v>
      </c>
      <c r="O31" t="s">
        <v>33</v>
      </c>
      <c r="P31" t="s">
        <v>60</v>
      </c>
      <c r="Q31" s="1" t="s">
        <v>21</v>
      </c>
    </row>
    <row r="32" spans="1:17" x14ac:dyDescent="0.35">
      <c r="A32" t="s">
        <v>456</v>
      </c>
      <c r="B32" t="s">
        <v>457</v>
      </c>
      <c r="C32" t="s">
        <v>73</v>
      </c>
      <c r="D32" t="s">
        <v>27</v>
      </c>
      <c r="E32" t="s">
        <v>16</v>
      </c>
      <c r="F32" t="s">
        <v>28</v>
      </c>
      <c r="G32" t="s">
        <v>24</v>
      </c>
      <c r="H32">
        <v>25</v>
      </c>
      <c r="I32" t="str">
        <f>IF(TBL[[#This Row],[Age]]&gt;=60, "Old", IF(TBL[[#This Row],[Age]]&gt;=30, "Adult", "Young"))</f>
        <v>Young</v>
      </c>
      <c r="J32" s="1">
        <v>42911</v>
      </c>
      <c r="K32">
        <f t="shared" si="0"/>
        <v>2017</v>
      </c>
      <c r="L32">
        <f>MONTH(TBL[[#This Row],[Hire Date]])</f>
        <v>6</v>
      </c>
      <c r="M32" s="7">
        <v>54775</v>
      </c>
      <c r="N32" s="8">
        <v>0</v>
      </c>
      <c r="O32" t="s">
        <v>19</v>
      </c>
      <c r="P32" t="s">
        <v>29</v>
      </c>
      <c r="Q32" s="1" t="s">
        <v>21</v>
      </c>
    </row>
    <row r="33" spans="1:17" x14ac:dyDescent="0.35">
      <c r="A33" t="s">
        <v>458</v>
      </c>
      <c r="B33" t="s">
        <v>459</v>
      </c>
      <c r="C33" t="s">
        <v>68</v>
      </c>
      <c r="D33" t="s">
        <v>15</v>
      </c>
      <c r="E33" t="s">
        <v>36</v>
      </c>
      <c r="F33" t="s">
        <v>28</v>
      </c>
      <c r="G33" t="s">
        <v>51</v>
      </c>
      <c r="H33">
        <v>65</v>
      </c>
      <c r="I33" t="str">
        <f>IF(TBL[[#This Row],[Age]]&gt;=60, "Old", IF(TBL[[#This Row],[Age]]&gt;=30, "Adult", "Young"))</f>
        <v>Old</v>
      </c>
      <c r="J33" s="1">
        <v>38123</v>
      </c>
      <c r="K33">
        <f t="shared" si="0"/>
        <v>2004</v>
      </c>
      <c r="L33">
        <f>MONTH(TBL[[#This Row],[Hire Date]])</f>
        <v>5</v>
      </c>
      <c r="M33" s="7">
        <v>55499</v>
      </c>
      <c r="N33" s="8">
        <v>0</v>
      </c>
      <c r="O33" t="s">
        <v>52</v>
      </c>
      <c r="P33" t="s">
        <v>81</v>
      </c>
      <c r="Q33" s="1" t="s">
        <v>21</v>
      </c>
    </row>
    <row r="34" spans="1:17" x14ac:dyDescent="0.35">
      <c r="A34" t="s">
        <v>54</v>
      </c>
      <c r="B34" t="s">
        <v>460</v>
      </c>
      <c r="C34" t="s">
        <v>64</v>
      </c>
      <c r="D34" t="s">
        <v>50</v>
      </c>
      <c r="E34" t="s">
        <v>16</v>
      </c>
      <c r="F34" t="s">
        <v>28</v>
      </c>
      <c r="G34" t="s">
        <v>18</v>
      </c>
      <c r="H34">
        <v>61</v>
      </c>
      <c r="I34" t="str">
        <f>IF(TBL[[#This Row],[Age]]&gt;=60, "Old", IF(TBL[[#This Row],[Age]]&gt;=30, "Adult", "Young"))</f>
        <v>Old</v>
      </c>
      <c r="J34" s="1">
        <v>39640</v>
      </c>
      <c r="K34">
        <f t="shared" si="0"/>
        <v>2008</v>
      </c>
      <c r="L34">
        <f>MONTH(TBL[[#This Row],[Hire Date]])</f>
        <v>7</v>
      </c>
      <c r="M34" s="7">
        <v>66521</v>
      </c>
      <c r="N34" s="8">
        <v>0</v>
      </c>
      <c r="O34" t="s">
        <v>19</v>
      </c>
      <c r="P34" t="s">
        <v>63</v>
      </c>
      <c r="Q34" s="1" t="s">
        <v>21</v>
      </c>
    </row>
    <row r="35" spans="1:17" x14ac:dyDescent="0.35">
      <c r="A35" t="s">
        <v>461</v>
      </c>
      <c r="B35" t="s">
        <v>462</v>
      </c>
      <c r="C35" t="s">
        <v>94</v>
      </c>
      <c r="D35" t="s">
        <v>50</v>
      </c>
      <c r="E35" t="s">
        <v>44</v>
      </c>
      <c r="F35" t="s">
        <v>28</v>
      </c>
      <c r="G35" t="s">
        <v>24</v>
      </c>
      <c r="H35">
        <v>30</v>
      </c>
      <c r="I35" t="str">
        <f>IF(TBL[[#This Row],[Age]]&gt;=60, "Old", IF(TBL[[#This Row],[Age]]&gt;=30, "Adult", "Young"))</f>
        <v>Adult</v>
      </c>
      <c r="J35" s="1">
        <v>42642</v>
      </c>
      <c r="K35">
        <f t="shared" si="0"/>
        <v>2016</v>
      </c>
      <c r="L35">
        <f>MONTH(TBL[[#This Row],[Hire Date]])</f>
        <v>9</v>
      </c>
      <c r="M35" s="7">
        <v>59100</v>
      </c>
      <c r="N35" s="8">
        <v>0</v>
      </c>
      <c r="O35" t="s">
        <v>33</v>
      </c>
      <c r="P35" t="s">
        <v>80</v>
      </c>
      <c r="Q35" s="1" t="s">
        <v>21</v>
      </c>
    </row>
    <row r="36" spans="1:17" x14ac:dyDescent="0.35">
      <c r="A36" t="s">
        <v>463</v>
      </c>
      <c r="B36" t="s">
        <v>464</v>
      </c>
      <c r="C36" t="s">
        <v>68</v>
      </c>
      <c r="D36" t="s">
        <v>15</v>
      </c>
      <c r="E36" t="s">
        <v>16</v>
      </c>
      <c r="F36" t="s">
        <v>17</v>
      </c>
      <c r="G36" t="s">
        <v>18</v>
      </c>
      <c r="H36">
        <v>27</v>
      </c>
      <c r="I36" t="str">
        <f>IF(TBL[[#This Row],[Age]]&gt;=60, "Old", IF(TBL[[#This Row],[Age]]&gt;=30, "Adult", "Young"))</f>
        <v>Young</v>
      </c>
      <c r="J36" s="1">
        <v>43226</v>
      </c>
      <c r="K36">
        <f t="shared" si="0"/>
        <v>2018</v>
      </c>
      <c r="L36">
        <f>MONTH(TBL[[#This Row],[Hire Date]])</f>
        <v>5</v>
      </c>
      <c r="M36" s="7">
        <v>49011</v>
      </c>
      <c r="N36" s="8">
        <v>0</v>
      </c>
      <c r="O36" t="s">
        <v>19</v>
      </c>
      <c r="P36" t="s">
        <v>20</v>
      </c>
      <c r="Q36" s="1" t="s">
        <v>21</v>
      </c>
    </row>
    <row r="37" spans="1:17" x14ac:dyDescent="0.35">
      <c r="A37" t="s">
        <v>227</v>
      </c>
      <c r="B37" t="s">
        <v>465</v>
      </c>
      <c r="C37" t="s">
        <v>26</v>
      </c>
      <c r="D37" t="s">
        <v>27</v>
      </c>
      <c r="E37" t="s">
        <v>36</v>
      </c>
      <c r="F37" t="s">
        <v>17</v>
      </c>
      <c r="G37" t="s">
        <v>18</v>
      </c>
      <c r="H37">
        <v>32</v>
      </c>
      <c r="I37" t="str">
        <f>IF(TBL[[#This Row],[Age]]&gt;=60, "Old", IF(TBL[[#This Row],[Age]]&gt;=30, "Adult", "Young"))</f>
        <v>Adult</v>
      </c>
      <c r="J37" s="1">
        <v>41681</v>
      </c>
      <c r="K37">
        <f t="shared" si="0"/>
        <v>2014</v>
      </c>
      <c r="L37">
        <f>MONTH(TBL[[#This Row],[Hire Date]])</f>
        <v>2</v>
      </c>
      <c r="M37" s="7">
        <v>99575</v>
      </c>
      <c r="N37" s="8">
        <v>0</v>
      </c>
      <c r="O37" t="s">
        <v>19</v>
      </c>
      <c r="P37" t="s">
        <v>25</v>
      </c>
      <c r="Q37" s="1" t="s">
        <v>21</v>
      </c>
    </row>
    <row r="38" spans="1:17" x14ac:dyDescent="0.35">
      <c r="A38" t="s">
        <v>466</v>
      </c>
      <c r="B38" t="s">
        <v>72</v>
      </c>
      <c r="C38" t="s">
        <v>84</v>
      </c>
      <c r="D38" t="s">
        <v>31</v>
      </c>
      <c r="E38" t="s">
        <v>36</v>
      </c>
      <c r="F38" t="s">
        <v>17</v>
      </c>
      <c r="G38" t="s">
        <v>24</v>
      </c>
      <c r="H38">
        <v>34</v>
      </c>
      <c r="I38" t="str">
        <f>IF(TBL[[#This Row],[Age]]&gt;=60, "Old", IF(TBL[[#This Row],[Age]]&gt;=30, "Adult", "Young"))</f>
        <v>Adult</v>
      </c>
      <c r="J38" s="1">
        <v>43815</v>
      </c>
      <c r="K38">
        <f t="shared" si="0"/>
        <v>2019</v>
      </c>
      <c r="L38">
        <f>MONTH(TBL[[#This Row],[Hire Date]])</f>
        <v>12</v>
      </c>
      <c r="M38" s="7">
        <v>99989</v>
      </c>
      <c r="N38" s="8">
        <v>0</v>
      </c>
      <c r="O38" t="s">
        <v>33</v>
      </c>
      <c r="P38" t="s">
        <v>34</v>
      </c>
      <c r="Q38" s="1" t="s">
        <v>21</v>
      </c>
    </row>
    <row r="39" spans="1:17" x14ac:dyDescent="0.35">
      <c r="A39" t="s">
        <v>467</v>
      </c>
      <c r="B39" t="s">
        <v>468</v>
      </c>
      <c r="C39" t="s">
        <v>14</v>
      </c>
      <c r="D39" t="s">
        <v>43</v>
      </c>
      <c r="E39" t="s">
        <v>16</v>
      </c>
      <c r="F39" t="s">
        <v>28</v>
      </c>
      <c r="G39" t="s">
        <v>18</v>
      </c>
      <c r="H39">
        <v>27</v>
      </c>
      <c r="I39" t="str">
        <f>IF(TBL[[#This Row],[Age]]&gt;=60, "Old", IF(TBL[[#This Row],[Age]]&gt;=30, "Adult", "Young"))</f>
        <v>Young</v>
      </c>
      <c r="J39" s="1">
        <v>43758</v>
      </c>
      <c r="K39">
        <f t="shared" si="0"/>
        <v>2019</v>
      </c>
      <c r="L39">
        <f>MONTH(TBL[[#This Row],[Hire Date]])</f>
        <v>10</v>
      </c>
      <c r="M39" s="7">
        <v>256420</v>
      </c>
      <c r="N39" s="8">
        <v>0.3</v>
      </c>
      <c r="O39" t="s">
        <v>19</v>
      </c>
      <c r="P39" t="s">
        <v>39</v>
      </c>
      <c r="Q39" s="1" t="s">
        <v>21</v>
      </c>
    </row>
    <row r="40" spans="1:17" x14ac:dyDescent="0.35">
      <c r="A40" t="s">
        <v>101</v>
      </c>
      <c r="B40" t="s">
        <v>469</v>
      </c>
      <c r="C40" t="s">
        <v>55</v>
      </c>
      <c r="D40" t="s">
        <v>27</v>
      </c>
      <c r="E40" t="s">
        <v>36</v>
      </c>
      <c r="F40" t="s">
        <v>17</v>
      </c>
      <c r="G40" t="s">
        <v>51</v>
      </c>
      <c r="H40">
        <v>35</v>
      </c>
      <c r="I40" t="str">
        <f>IF(TBL[[#This Row],[Age]]&gt;=60, "Old", IF(TBL[[#This Row],[Age]]&gt;=30, "Adult", "Young"))</f>
        <v>Adult</v>
      </c>
      <c r="J40" s="1">
        <v>41409</v>
      </c>
      <c r="K40">
        <f t="shared" si="0"/>
        <v>2013</v>
      </c>
      <c r="L40">
        <f>MONTH(TBL[[#This Row],[Hire Date]])</f>
        <v>5</v>
      </c>
      <c r="M40" s="7">
        <v>78940</v>
      </c>
      <c r="N40" s="8">
        <v>0</v>
      </c>
      <c r="O40" t="s">
        <v>19</v>
      </c>
      <c r="P40" t="s">
        <v>45</v>
      </c>
      <c r="Q40" s="1" t="s">
        <v>21</v>
      </c>
    </row>
    <row r="41" spans="1:17" x14ac:dyDescent="0.35">
      <c r="A41" t="s">
        <v>470</v>
      </c>
      <c r="B41" t="s">
        <v>471</v>
      </c>
      <c r="C41" t="s">
        <v>26</v>
      </c>
      <c r="D41" t="s">
        <v>27</v>
      </c>
      <c r="E41" t="s">
        <v>32</v>
      </c>
      <c r="F41" t="s">
        <v>17</v>
      </c>
      <c r="G41" t="s">
        <v>51</v>
      </c>
      <c r="H41">
        <v>57</v>
      </c>
      <c r="I41" t="str">
        <f>IF(TBL[[#This Row],[Age]]&gt;=60, "Old", IF(TBL[[#This Row],[Age]]&gt;=30, "Adult", "Young"))</f>
        <v>Adult</v>
      </c>
      <c r="J41" s="1">
        <v>34337</v>
      </c>
      <c r="K41">
        <f t="shared" si="0"/>
        <v>1994</v>
      </c>
      <c r="L41">
        <f>MONTH(TBL[[#This Row],[Hire Date]])</f>
        <v>1</v>
      </c>
      <c r="M41" s="7">
        <v>82872</v>
      </c>
      <c r="N41" s="8">
        <v>0</v>
      </c>
      <c r="O41" t="s">
        <v>52</v>
      </c>
      <c r="P41" t="s">
        <v>81</v>
      </c>
      <c r="Q41" s="1" t="s">
        <v>21</v>
      </c>
    </row>
    <row r="42" spans="1:17" x14ac:dyDescent="0.35">
      <c r="A42" t="s">
        <v>333</v>
      </c>
      <c r="B42" t="s">
        <v>472</v>
      </c>
      <c r="C42" t="s">
        <v>77</v>
      </c>
      <c r="D42" t="s">
        <v>23</v>
      </c>
      <c r="E42" t="s">
        <v>44</v>
      </c>
      <c r="F42" t="s">
        <v>28</v>
      </c>
      <c r="G42" t="s">
        <v>24</v>
      </c>
      <c r="H42">
        <v>30</v>
      </c>
      <c r="I42" t="str">
        <f>IF(TBL[[#This Row],[Age]]&gt;=60, "Old", IF(TBL[[#This Row],[Age]]&gt;=30, "Adult", "Young"))</f>
        <v>Adult</v>
      </c>
      <c r="J42" s="1">
        <v>42884</v>
      </c>
      <c r="K42">
        <f t="shared" si="0"/>
        <v>2017</v>
      </c>
      <c r="L42">
        <f>MONTH(TBL[[#This Row],[Hire Date]])</f>
        <v>5</v>
      </c>
      <c r="M42" s="7">
        <v>86317</v>
      </c>
      <c r="N42" s="8">
        <v>0</v>
      </c>
      <c r="O42" t="s">
        <v>33</v>
      </c>
      <c r="P42" t="s">
        <v>34</v>
      </c>
      <c r="Q42" s="1">
        <v>42932</v>
      </c>
    </row>
    <row r="43" spans="1:17" x14ac:dyDescent="0.35">
      <c r="A43" t="s">
        <v>342</v>
      </c>
      <c r="B43" t="s">
        <v>473</v>
      </c>
      <c r="C43" t="s">
        <v>62</v>
      </c>
      <c r="D43" t="s">
        <v>43</v>
      </c>
      <c r="E43" t="s">
        <v>44</v>
      </c>
      <c r="F43" t="s">
        <v>17</v>
      </c>
      <c r="G43" t="s">
        <v>18</v>
      </c>
      <c r="H43">
        <v>53</v>
      </c>
      <c r="I43" t="str">
        <f>IF(TBL[[#This Row],[Age]]&gt;=60, "Old", IF(TBL[[#This Row],[Age]]&gt;=30, "Adult", "Young"))</f>
        <v>Adult</v>
      </c>
      <c r="J43" s="1">
        <v>41601</v>
      </c>
      <c r="K43">
        <f t="shared" si="0"/>
        <v>2013</v>
      </c>
      <c r="L43">
        <f>MONTH(TBL[[#This Row],[Hire Date]])</f>
        <v>11</v>
      </c>
      <c r="M43" s="7">
        <v>113135</v>
      </c>
      <c r="N43" s="8">
        <v>0.05</v>
      </c>
      <c r="O43" t="s">
        <v>19</v>
      </c>
      <c r="P43" t="s">
        <v>25</v>
      </c>
      <c r="Q43" s="1" t="s">
        <v>21</v>
      </c>
    </row>
    <row r="44" spans="1:17" x14ac:dyDescent="0.35">
      <c r="A44" t="s">
        <v>279</v>
      </c>
      <c r="B44" t="s">
        <v>474</v>
      </c>
      <c r="C44" t="s">
        <v>14</v>
      </c>
      <c r="D44" t="s">
        <v>27</v>
      </c>
      <c r="E44" t="s">
        <v>44</v>
      </c>
      <c r="F44" t="s">
        <v>28</v>
      </c>
      <c r="G44" t="s">
        <v>18</v>
      </c>
      <c r="H44">
        <v>52</v>
      </c>
      <c r="I44" t="str">
        <f>IF(TBL[[#This Row],[Age]]&gt;=60, "Old", IF(TBL[[#This Row],[Age]]&gt;=30, "Adult", "Young"))</f>
        <v>Adult</v>
      </c>
      <c r="J44" s="1">
        <v>38664</v>
      </c>
      <c r="K44">
        <f t="shared" si="0"/>
        <v>2005</v>
      </c>
      <c r="L44">
        <f>MONTH(TBL[[#This Row],[Hire Date]])</f>
        <v>11</v>
      </c>
      <c r="M44" s="7">
        <v>199808</v>
      </c>
      <c r="N44" s="8">
        <v>0.32</v>
      </c>
      <c r="O44" t="s">
        <v>19</v>
      </c>
      <c r="P44" t="s">
        <v>63</v>
      </c>
      <c r="Q44" s="1" t="s">
        <v>21</v>
      </c>
    </row>
    <row r="45" spans="1:17" x14ac:dyDescent="0.35">
      <c r="A45" t="s">
        <v>475</v>
      </c>
      <c r="B45" t="s">
        <v>476</v>
      </c>
      <c r="C45" t="s">
        <v>94</v>
      </c>
      <c r="D45" t="s">
        <v>50</v>
      </c>
      <c r="E45" t="s">
        <v>44</v>
      </c>
      <c r="F45" t="s">
        <v>28</v>
      </c>
      <c r="G45" t="s">
        <v>24</v>
      </c>
      <c r="H45">
        <v>37</v>
      </c>
      <c r="I45" t="str">
        <f>IF(TBL[[#This Row],[Age]]&gt;=60, "Old", IF(TBL[[#This Row],[Age]]&gt;=30, "Adult", "Young"))</f>
        <v>Adult</v>
      </c>
      <c r="J45" s="1">
        <v>41592</v>
      </c>
      <c r="K45">
        <f t="shared" si="0"/>
        <v>2013</v>
      </c>
      <c r="L45">
        <f>MONTH(TBL[[#This Row],[Hire Date]])</f>
        <v>11</v>
      </c>
      <c r="M45" s="7">
        <v>56037</v>
      </c>
      <c r="N45" s="8">
        <v>0</v>
      </c>
      <c r="O45" t="s">
        <v>33</v>
      </c>
      <c r="P45" t="s">
        <v>74</v>
      </c>
      <c r="Q45" s="1" t="s">
        <v>21</v>
      </c>
    </row>
    <row r="46" spans="1:17" x14ac:dyDescent="0.35">
      <c r="A46" t="s">
        <v>477</v>
      </c>
      <c r="B46" t="s">
        <v>478</v>
      </c>
      <c r="C46" t="s">
        <v>61</v>
      </c>
      <c r="D46" t="s">
        <v>43</v>
      </c>
      <c r="E46" t="s">
        <v>16</v>
      </c>
      <c r="F46" t="s">
        <v>17</v>
      </c>
      <c r="G46" t="s">
        <v>18</v>
      </c>
      <c r="H46">
        <v>29</v>
      </c>
      <c r="I46" t="str">
        <f>IF(TBL[[#This Row],[Age]]&gt;=60, "Old", IF(TBL[[#This Row],[Age]]&gt;=30, "Adult", "Young"))</f>
        <v>Young</v>
      </c>
      <c r="J46" s="1">
        <v>43609</v>
      </c>
      <c r="K46">
        <f t="shared" si="0"/>
        <v>2019</v>
      </c>
      <c r="L46">
        <f>MONTH(TBL[[#This Row],[Hire Date]])</f>
        <v>5</v>
      </c>
      <c r="M46" s="7">
        <v>122350</v>
      </c>
      <c r="N46" s="8">
        <v>0.12</v>
      </c>
      <c r="O46" t="s">
        <v>19</v>
      </c>
      <c r="P46" t="s">
        <v>39</v>
      </c>
      <c r="Q46" s="1" t="s">
        <v>21</v>
      </c>
    </row>
    <row r="47" spans="1:17" x14ac:dyDescent="0.35">
      <c r="A47" t="s">
        <v>479</v>
      </c>
      <c r="B47" t="s">
        <v>480</v>
      </c>
      <c r="C47" t="s">
        <v>26</v>
      </c>
      <c r="D47" t="s">
        <v>27</v>
      </c>
      <c r="E47" t="s">
        <v>16</v>
      </c>
      <c r="F47" t="s">
        <v>28</v>
      </c>
      <c r="G47" t="s">
        <v>18</v>
      </c>
      <c r="H47">
        <v>40</v>
      </c>
      <c r="I47" t="str">
        <f>IF(TBL[[#This Row],[Age]]&gt;=60, "Old", IF(TBL[[#This Row],[Age]]&gt;=30, "Adult", "Young"))</f>
        <v>Adult</v>
      </c>
      <c r="J47" s="1">
        <v>40486</v>
      </c>
      <c r="K47">
        <f t="shared" si="0"/>
        <v>2010</v>
      </c>
      <c r="L47">
        <f>MONTH(TBL[[#This Row],[Hire Date]])</f>
        <v>11</v>
      </c>
      <c r="M47" s="7">
        <v>92952</v>
      </c>
      <c r="N47" s="8">
        <v>0</v>
      </c>
      <c r="O47" t="s">
        <v>19</v>
      </c>
      <c r="P47" t="s">
        <v>63</v>
      </c>
      <c r="Q47" s="1" t="s">
        <v>21</v>
      </c>
    </row>
    <row r="48" spans="1:17" x14ac:dyDescent="0.35">
      <c r="A48" t="s">
        <v>481</v>
      </c>
      <c r="B48" t="s">
        <v>482</v>
      </c>
      <c r="C48" t="s">
        <v>56</v>
      </c>
      <c r="D48" t="s">
        <v>27</v>
      </c>
      <c r="E48" t="s">
        <v>32</v>
      </c>
      <c r="F48" t="s">
        <v>28</v>
      </c>
      <c r="G48" t="s">
        <v>51</v>
      </c>
      <c r="H48">
        <v>32</v>
      </c>
      <c r="I48" t="str">
        <f>IF(TBL[[#This Row],[Age]]&gt;=60, "Old", IF(TBL[[#This Row],[Age]]&gt;=30, "Adult", "Young"))</f>
        <v>Adult</v>
      </c>
      <c r="J48" s="1">
        <v>41353</v>
      </c>
      <c r="K48">
        <f t="shared" si="0"/>
        <v>2013</v>
      </c>
      <c r="L48">
        <f>MONTH(TBL[[#This Row],[Hire Date]])</f>
        <v>3</v>
      </c>
      <c r="M48" s="7">
        <v>79921</v>
      </c>
      <c r="N48" s="8">
        <v>0.05</v>
      </c>
      <c r="O48" t="s">
        <v>19</v>
      </c>
      <c r="P48" t="s">
        <v>25</v>
      </c>
      <c r="Q48" s="1" t="s">
        <v>21</v>
      </c>
    </row>
    <row r="49" spans="1:17" x14ac:dyDescent="0.35">
      <c r="A49" t="s">
        <v>483</v>
      </c>
      <c r="B49" t="s">
        <v>484</v>
      </c>
      <c r="C49" t="s">
        <v>40</v>
      </c>
      <c r="D49" t="s">
        <v>27</v>
      </c>
      <c r="E49" t="s">
        <v>16</v>
      </c>
      <c r="F49" t="s">
        <v>17</v>
      </c>
      <c r="G49" t="s">
        <v>47</v>
      </c>
      <c r="H49">
        <v>37</v>
      </c>
      <c r="I49" t="str">
        <f>IF(TBL[[#This Row],[Age]]&gt;=60, "Old", IF(TBL[[#This Row],[Age]]&gt;=30, "Adult", "Young"))</f>
        <v>Adult</v>
      </c>
      <c r="J49" s="1">
        <v>40076</v>
      </c>
      <c r="K49">
        <f t="shared" si="0"/>
        <v>2009</v>
      </c>
      <c r="L49">
        <f>MONTH(TBL[[#This Row],[Hire Date]])</f>
        <v>9</v>
      </c>
      <c r="M49" s="7">
        <v>167199</v>
      </c>
      <c r="N49" s="8">
        <v>0.2</v>
      </c>
      <c r="O49" t="s">
        <v>19</v>
      </c>
      <c r="P49" t="s">
        <v>63</v>
      </c>
      <c r="Q49" s="1" t="s">
        <v>21</v>
      </c>
    </row>
    <row r="50" spans="1:17" x14ac:dyDescent="0.35">
      <c r="A50" t="s">
        <v>485</v>
      </c>
      <c r="B50" t="s">
        <v>486</v>
      </c>
      <c r="C50" t="s">
        <v>30</v>
      </c>
      <c r="D50" t="s">
        <v>31</v>
      </c>
      <c r="E50" t="s">
        <v>16</v>
      </c>
      <c r="F50" t="s">
        <v>28</v>
      </c>
      <c r="G50" t="s">
        <v>18</v>
      </c>
      <c r="H50">
        <v>52</v>
      </c>
      <c r="I50" t="str">
        <f>IF(TBL[[#This Row],[Age]]&gt;=60, "Old", IF(TBL[[#This Row],[Age]]&gt;=30, "Adult", "Young"))</f>
        <v>Adult</v>
      </c>
      <c r="J50" s="1">
        <v>41199</v>
      </c>
      <c r="K50">
        <f t="shared" si="0"/>
        <v>2012</v>
      </c>
      <c r="L50">
        <f>MONTH(TBL[[#This Row],[Hire Date]])</f>
        <v>10</v>
      </c>
      <c r="M50" s="7">
        <v>71476</v>
      </c>
      <c r="N50" s="8">
        <v>0</v>
      </c>
      <c r="O50" t="s">
        <v>19</v>
      </c>
      <c r="P50" t="s">
        <v>39</v>
      </c>
      <c r="Q50" s="1" t="s">
        <v>21</v>
      </c>
    </row>
    <row r="51" spans="1:17" x14ac:dyDescent="0.35">
      <c r="A51" t="s">
        <v>152</v>
      </c>
      <c r="B51" t="s">
        <v>487</v>
      </c>
      <c r="C51" t="s">
        <v>40</v>
      </c>
      <c r="D51" t="s">
        <v>31</v>
      </c>
      <c r="E51" t="s">
        <v>36</v>
      </c>
      <c r="F51" t="s">
        <v>17</v>
      </c>
      <c r="G51" t="s">
        <v>18</v>
      </c>
      <c r="H51">
        <v>45</v>
      </c>
      <c r="I51" t="str">
        <f>IF(TBL[[#This Row],[Age]]&gt;=60, "Old", IF(TBL[[#This Row],[Age]]&gt;=30, "Adult", "Young"))</f>
        <v>Adult</v>
      </c>
      <c r="J51" s="1">
        <v>41941</v>
      </c>
      <c r="K51">
        <f t="shared" si="0"/>
        <v>2014</v>
      </c>
      <c r="L51">
        <f>MONTH(TBL[[#This Row],[Hire Date]])</f>
        <v>10</v>
      </c>
      <c r="M51" s="7">
        <v>189420</v>
      </c>
      <c r="N51" s="8">
        <v>0.2</v>
      </c>
      <c r="O51" t="s">
        <v>19</v>
      </c>
      <c r="P51" t="s">
        <v>63</v>
      </c>
      <c r="Q51" s="1" t="s">
        <v>21</v>
      </c>
    </row>
    <row r="52" spans="1:17" x14ac:dyDescent="0.35">
      <c r="A52" t="s">
        <v>488</v>
      </c>
      <c r="B52" t="s">
        <v>489</v>
      </c>
      <c r="C52" t="s">
        <v>22</v>
      </c>
      <c r="D52" t="s">
        <v>23</v>
      </c>
      <c r="E52" t="s">
        <v>16</v>
      </c>
      <c r="F52" t="s">
        <v>17</v>
      </c>
      <c r="G52" t="s">
        <v>18</v>
      </c>
      <c r="H52">
        <v>64</v>
      </c>
      <c r="I52" t="str">
        <f>IF(TBL[[#This Row],[Age]]&gt;=60, "Old", IF(TBL[[#This Row],[Age]]&gt;=30, "Adult", "Young"))</f>
        <v>Old</v>
      </c>
      <c r="J52" s="1">
        <v>37184</v>
      </c>
      <c r="K52">
        <f t="shared" si="0"/>
        <v>2001</v>
      </c>
      <c r="L52">
        <f>MONTH(TBL[[#This Row],[Hire Date]])</f>
        <v>10</v>
      </c>
      <c r="M52" s="7">
        <v>64057</v>
      </c>
      <c r="N52" s="8">
        <v>0</v>
      </c>
      <c r="O52" t="s">
        <v>19</v>
      </c>
      <c r="P52" t="s">
        <v>39</v>
      </c>
      <c r="Q52" s="1" t="s">
        <v>21</v>
      </c>
    </row>
    <row r="53" spans="1:17" x14ac:dyDescent="0.35">
      <c r="A53" t="s">
        <v>490</v>
      </c>
      <c r="B53" t="s">
        <v>491</v>
      </c>
      <c r="C53" t="s">
        <v>64</v>
      </c>
      <c r="D53" t="s">
        <v>43</v>
      </c>
      <c r="E53" t="s">
        <v>36</v>
      </c>
      <c r="F53" t="s">
        <v>17</v>
      </c>
      <c r="G53" t="s">
        <v>47</v>
      </c>
      <c r="H53">
        <v>27</v>
      </c>
      <c r="I53" t="str">
        <f>IF(TBL[[#This Row],[Age]]&gt;=60, "Old", IF(TBL[[#This Row],[Age]]&gt;=30, "Adult", "Young"))</f>
        <v>Young</v>
      </c>
      <c r="J53" s="1">
        <v>44460</v>
      </c>
      <c r="K53">
        <f t="shared" si="0"/>
        <v>2021</v>
      </c>
      <c r="L53">
        <f>MONTH(TBL[[#This Row],[Hire Date]])</f>
        <v>9</v>
      </c>
      <c r="M53" s="7">
        <v>68728</v>
      </c>
      <c r="N53" s="8">
        <v>0</v>
      </c>
      <c r="O53" t="s">
        <v>19</v>
      </c>
      <c r="P53" t="s">
        <v>39</v>
      </c>
      <c r="Q53" s="1" t="s">
        <v>21</v>
      </c>
    </row>
    <row r="54" spans="1:17" x14ac:dyDescent="0.35">
      <c r="A54" t="s">
        <v>492</v>
      </c>
      <c r="B54" t="s">
        <v>493</v>
      </c>
      <c r="C54" t="s">
        <v>61</v>
      </c>
      <c r="D54" t="s">
        <v>27</v>
      </c>
      <c r="E54" t="s">
        <v>36</v>
      </c>
      <c r="F54" t="s">
        <v>17</v>
      </c>
      <c r="G54" t="s">
        <v>24</v>
      </c>
      <c r="H54">
        <v>25</v>
      </c>
      <c r="I54" t="str">
        <f>IF(TBL[[#This Row],[Age]]&gt;=60, "Old", IF(TBL[[#This Row],[Age]]&gt;=30, "Adult", "Young"))</f>
        <v>Young</v>
      </c>
      <c r="J54" s="1">
        <v>44379</v>
      </c>
      <c r="K54">
        <f t="shared" si="0"/>
        <v>2021</v>
      </c>
      <c r="L54">
        <f>MONTH(TBL[[#This Row],[Hire Date]])</f>
        <v>7</v>
      </c>
      <c r="M54" s="7">
        <v>125633</v>
      </c>
      <c r="N54" s="8">
        <v>0.11</v>
      </c>
      <c r="O54" t="s">
        <v>33</v>
      </c>
      <c r="P54" t="s">
        <v>60</v>
      </c>
      <c r="Q54" s="1" t="s">
        <v>21</v>
      </c>
    </row>
    <row r="55" spans="1:17" x14ac:dyDescent="0.35">
      <c r="A55" t="s">
        <v>494</v>
      </c>
      <c r="B55" t="s">
        <v>495</v>
      </c>
      <c r="C55" t="s">
        <v>64</v>
      </c>
      <c r="D55" t="s">
        <v>43</v>
      </c>
      <c r="E55" t="s">
        <v>36</v>
      </c>
      <c r="F55" t="s">
        <v>28</v>
      </c>
      <c r="G55" t="s">
        <v>51</v>
      </c>
      <c r="H55">
        <v>35</v>
      </c>
      <c r="I55" t="str">
        <f>IF(TBL[[#This Row],[Age]]&gt;=60, "Old", IF(TBL[[#This Row],[Age]]&gt;=30, "Adult", "Young"))</f>
        <v>Adult</v>
      </c>
      <c r="J55" s="1">
        <v>40678</v>
      </c>
      <c r="K55">
        <f t="shared" si="0"/>
        <v>2011</v>
      </c>
      <c r="L55">
        <f>MONTH(TBL[[#This Row],[Hire Date]])</f>
        <v>5</v>
      </c>
      <c r="M55" s="7">
        <v>66889</v>
      </c>
      <c r="N55" s="8">
        <v>0</v>
      </c>
      <c r="O55" t="s">
        <v>19</v>
      </c>
      <c r="P55" t="s">
        <v>29</v>
      </c>
      <c r="Q55" s="1" t="s">
        <v>21</v>
      </c>
    </row>
    <row r="56" spans="1:17" x14ac:dyDescent="0.35">
      <c r="A56" t="s">
        <v>380</v>
      </c>
      <c r="B56" t="s">
        <v>496</v>
      </c>
      <c r="C56" t="s">
        <v>40</v>
      </c>
      <c r="D56" t="s">
        <v>65</v>
      </c>
      <c r="E56" t="s">
        <v>16</v>
      </c>
      <c r="F56" t="s">
        <v>17</v>
      </c>
      <c r="G56" t="s">
        <v>24</v>
      </c>
      <c r="H56">
        <v>36</v>
      </c>
      <c r="I56" t="str">
        <f>IF(TBL[[#This Row],[Age]]&gt;=60, "Old", IF(TBL[[#This Row],[Age]]&gt;=30, "Adult", "Young"))</f>
        <v>Adult</v>
      </c>
      <c r="J56" s="1">
        <v>42276</v>
      </c>
      <c r="K56">
        <f t="shared" si="0"/>
        <v>2015</v>
      </c>
      <c r="L56">
        <f>MONTH(TBL[[#This Row],[Hire Date]])</f>
        <v>9</v>
      </c>
      <c r="M56" s="7">
        <v>178700</v>
      </c>
      <c r="N56" s="8">
        <v>0.28999999999999998</v>
      </c>
      <c r="O56" t="s">
        <v>19</v>
      </c>
      <c r="P56" t="s">
        <v>63</v>
      </c>
      <c r="Q56" s="1" t="s">
        <v>21</v>
      </c>
    </row>
    <row r="57" spans="1:17" x14ac:dyDescent="0.35">
      <c r="A57" t="s">
        <v>497</v>
      </c>
      <c r="B57" t="s">
        <v>498</v>
      </c>
      <c r="C57" t="s">
        <v>129</v>
      </c>
      <c r="D57" t="s">
        <v>31</v>
      </c>
      <c r="E57" t="s">
        <v>16</v>
      </c>
      <c r="F57" t="s">
        <v>17</v>
      </c>
      <c r="G57" t="s">
        <v>18</v>
      </c>
      <c r="H57">
        <v>33</v>
      </c>
      <c r="I57" t="str">
        <f>IF(TBL[[#This Row],[Age]]&gt;=60, "Old", IF(TBL[[#This Row],[Age]]&gt;=30, "Adult", "Young"))</f>
        <v>Adult</v>
      </c>
      <c r="J57" s="1">
        <v>43456</v>
      </c>
      <c r="K57">
        <f t="shared" si="0"/>
        <v>2018</v>
      </c>
      <c r="L57">
        <f>MONTH(TBL[[#This Row],[Hire Date]])</f>
        <v>12</v>
      </c>
      <c r="M57" s="7">
        <v>83990</v>
      </c>
      <c r="N57" s="8">
        <v>0</v>
      </c>
      <c r="O57" t="s">
        <v>19</v>
      </c>
      <c r="P57" t="s">
        <v>20</v>
      </c>
      <c r="Q57" s="1" t="s">
        <v>21</v>
      </c>
    </row>
    <row r="58" spans="1:17" x14ac:dyDescent="0.35">
      <c r="A58" t="s">
        <v>499</v>
      </c>
      <c r="B58" t="s">
        <v>500</v>
      </c>
      <c r="C58" t="s">
        <v>59</v>
      </c>
      <c r="D58" t="s">
        <v>31</v>
      </c>
      <c r="E58" t="s">
        <v>32</v>
      </c>
      <c r="F58" t="s">
        <v>17</v>
      </c>
      <c r="G58" t="s">
        <v>18</v>
      </c>
      <c r="H58">
        <v>52</v>
      </c>
      <c r="I58" t="str">
        <f>IF(TBL[[#This Row],[Age]]&gt;=60, "Old", IF(TBL[[#This Row],[Age]]&gt;=30, "Adult", "Young"))</f>
        <v>Adult</v>
      </c>
      <c r="J58" s="1">
        <v>38696</v>
      </c>
      <c r="K58">
        <f t="shared" si="0"/>
        <v>2005</v>
      </c>
      <c r="L58">
        <f>MONTH(TBL[[#This Row],[Hire Date]])</f>
        <v>12</v>
      </c>
      <c r="M58" s="7">
        <v>102043</v>
      </c>
      <c r="N58" s="8">
        <v>0</v>
      </c>
      <c r="O58" t="s">
        <v>19</v>
      </c>
      <c r="P58" t="s">
        <v>20</v>
      </c>
      <c r="Q58" s="1" t="s">
        <v>21</v>
      </c>
    </row>
    <row r="59" spans="1:17" x14ac:dyDescent="0.35">
      <c r="A59" t="s">
        <v>501</v>
      </c>
      <c r="B59" t="s">
        <v>502</v>
      </c>
      <c r="C59" t="s">
        <v>69</v>
      </c>
      <c r="D59" t="s">
        <v>31</v>
      </c>
      <c r="E59" t="s">
        <v>36</v>
      </c>
      <c r="F59" t="s">
        <v>17</v>
      </c>
      <c r="G59" t="s">
        <v>24</v>
      </c>
      <c r="H59">
        <v>46</v>
      </c>
      <c r="I59" t="str">
        <f>IF(TBL[[#This Row],[Age]]&gt;=60, "Old", IF(TBL[[#This Row],[Age]]&gt;=30, "Adult", "Young"))</f>
        <v>Adult</v>
      </c>
      <c r="J59" s="1">
        <v>37041</v>
      </c>
      <c r="K59">
        <f t="shared" si="0"/>
        <v>2001</v>
      </c>
      <c r="L59">
        <f>MONTH(TBL[[#This Row],[Hire Date]])</f>
        <v>5</v>
      </c>
      <c r="M59" s="7">
        <v>90678</v>
      </c>
      <c r="N59" s="8">
        <v>0</v>
      </c>
      <c r="O59" t="s">
        <v>19</v>
      </c>
      <c r="P59" t="s">
        <v>29</v>
      </c>
      <c r="Q59" s="1" t="s">
        <v>21</v>
      </c>
    </row>
    <row r="60" spans="1:17" x14ac:dyDescent="0.35">
      <c r="A60" t="s">
        <v>503</v>
      </c>
      <c r="B60" t="s">
        <v>504</v>
      </c>
      <c r="C60" t="s">
        <v>83</v>
      </c>
      <c r="D60" t="s">
        <v>23</v>
      </c>
      <c r="E60" t="s">
        <v>36</v>
      </c>
      <c r="F60" t="s">
        <v>17</v>
      </c>
      <c r="G60" t="s">
        <v>47</v>
      </c>
      <c r="H60">
        <v>46</v>
      </c>
      <c r="I60" t="str">
        <f>IF(TBL[[#This Row],[Age]]&gt;=60, "Old", IF(TBL[[#This Row],[Age]]&gt;=30, "Adult", "Young"))</f>
        <v>Adult</v>
      </c>
      <c r="J60" s="1">
        <v>39681</v>
      </c>
      <c r="K60">
        <f t="shared" si="0"/>
        <v>2008</v>
      </c>
      <c r="L60">
        <f>MONTH(TBL[[#This Row],[Hire Date]])</f>
        <v>8</v>
      </c>
      <c r="M60" s="7">
        <v>59067</v>
      </c>
      <c r="N60" s="8">
        <v>0</v>
      </c>
      <c r="O60" t="s">
        <v>19</v>
      </c>
      <c r="P60" t="s">
        <v>45</v>
      </c>
      <c r="Q60" s="1" t="s">
        <v>21</v>
      </c>
    </row>
    <row r="61" spans="1:17" x14ac:dyDescent="0.35">
      <c r="A61" t="s">
        <v>505</v>
      </c>
      <c r="B61" t="s">
        <v>506</v>
      </c>
      <c r="C61" t="s">
        <v>61</v>
      </c>
      <c r="D61" t="s">
        <v>43</v>
      </c>
      <c r="E61" t="s">
        <v>16</v>
      </c>
      <c r="F61" t="s">
        <v>28</v>
      </c>
      <c r="G61" t="s">
        <v>24</v>
      </c>
      <c r="H61">
        <v>45</v>
      </c>
      <c r="I61" t="str">
        <f>IF(TBL[[#This Row],[Age]]&gt;=60, "Old", IF(TBL[[#This Row],[Age]]&gt;=30, "Adult", "Young"))</f>
        <v>Adult</v>
      </c>
      <c r="J61" s="1">
        <v>44266</v>
      </c>
      <c r="K61">
        <f t="shared" si="0"/>
        <v>2021</v>
      </c>
      <c r="L61">
        <f>MONTH(TBL[[#This Row],[Hire Date]])</f>
        <v>3</v>
      </c>
      <c r="M61" s="7">
        <v>135062</v>
      </c>
      <c r="N61" s="8">
        <v>0.15</v>
      </c>
      <c r="O61" t="s">
        <v>33</v>
      </c>
      <c r="P61" t="s">
        <v>34</v>
      </c>
      <c r="Q61" s="1" t="s">
        <v>21</v>
      </c>
    </row>
    <row r="62" spans="1:17" x14ac:dyDescent="0.35">
      <c r="A62" t="s">
        <v>203</v>
      </c>
      <c r="B62" t="s">
        <v>507</v>
      </c>
      <c r="C62" t="s">
        <v>61</v>
      </c>
      <c r="D62" t="s">
        <v>27</v>
      </c>
      <c r="E62" t="s">
        <v>32</v>
      </c>
      <c r="F62" t="s">
        <v>17</v>
      </c>
      <c r="G62" t="s">
        <v>51</v>
      </c>
      <c r="H62">
        <v>55</v>
      </c>
      <c r="I62" t="str">
        <f>IF(TBL[[#This Row],[Age]]&gt;=60, "Old", IF(TBL[[#This Row],[Age]]&gt;=30, "Adult", "Young"))</f>
        <v>Adult</v>
      </c>
      <c r="J62" s="1">
        <v>38945</v>
      </c>
      <c r="K62">
        <f t="shared" si="0"/>
        <v>2006</v>
      </c>
      <c r="L62">
        <f>MONTH(TBL[[#This Row],[Hire Date]])</f>
        <v>8</v>
      </c>
      <c r="M62" s="7">
        <v>159044</v>
      </c>
      <c r="N62" s="8">
        <v>0.1</v>
      </c>
      <c r="O62" t="s">
        <v>52</v>
      </c>
      <c r="P62" t="s">
        <v>81</v>
      </c>
      <c r="Q62" s="1" t="s">
        <v>21</v>
      </c>
    </row>
    <row r="63" spans="1:17" x14ac:dyDescent="0.35">
      <c r="A63" t="s">
        <v>170</v>
      </c>
      <c r="B63" t="s">
        <v>508</v>
      </c>
      <c r="C63" t="s">
        <v>42</v>
      </c>
      <c r="D63" t="s">
        <v>65</v>
      </c>
      <c r="E63" t="s">
        <v>36</v>
      </c>
      <c r="F63" t="s">
        <v>17</v>
      </c>
      <c r="G63" t="s">
        <v>51</v>
      </c>
      <c r="H63">
        <v>44</v>
      </c>
      <c r="I63" t="str">
        <f>IF(TBL[[#This Row],[Age]]&gt;=60, "Old", IF(TBL[[#This Row],[Age]]&gt;=30, "Adult", "Young"))</f>
        <v>Adult</v>
      </c>
      <c r="J63" s="1">
        <v>43467</v>
      </c>
      <c r="K63">
        <f t="shared" si="0"/>
        <v>2019</v>
      </c>
      <c r="L63">
        <f>MONTH(TBL[[#This Row],[Hire Date]])</f>
        <v>1</v>
      </c>
      <c r="M63" s="7">
        <v>74691</v>
      </c>
      <c r="N63" s="8">
        <v>0</v>
      </c>
      <c r="O63" t="s">
        <v>52</v>
      </c>
      <c r="P63" t="s">
        <v>81</v>
      </c>
      <c r="Q63" s="1">
        <v>44020</v>
      </c>
    </row>
    <row r="64" spans="1:17" x14ac:dyDescent="0.35">
      <c r="A64" t="s">
        <v>509</v>
      </c>
      <c r="B64" t="s">
        <v>510</v>
      </c>
      <c r="C64" t="s">
        <v>97</v>
      </c>
      <c r="D64" t="s">
        <v>31</v>
      </c>
      <c r="E64" t="s">
        <v>32</v>
      </c>
      <c r="F64" t="s">
        <v>17</v>
      </c>
      <c r="G64" t="s">
        <v>51</v>
      </c>
      <c r="H64">
        <v>44</v>
      </c>
      <c r="I64" t="str">
        <f>IF(TBL[[#This Row],[Age]]&gt;=60, "Old", IF(TBL[[#This Row],[Age]]&gt;=30, "Adult", "Young"))</f>
        <v>Adult</v>
      </c>
      <c r="J64" s="1">
        <v>39800</v>
      </c>
      <c r="K64">
        <f t="shared" si="0"/>
        <v>2008</v>
      </c>
      <c r="L64">
        <f>MONTH(TBL[[#This Row],[Hire Date]])</f>
        <v>12</v>
      </c>
      <c r="M64" s="7">
        <v>92753</v>
      </c>
      <c r="N64" s="8">
        <v>0.13</v>
      </c>
      <c r="O64" t="s">
        <v>19</v>
      </c>
      <c r="P64" t="s">
        <v>25</v>
      </c>
      <c r="Q64" s="1">
        <v>44371</v>
      </c>
    </row>
    <row r="65" spans="1:17" x14ac:dyDescent="0.35">
      <c r="A65" t="s">
        <v>315</v>
      </c>
      <c r="B65" t="s">
        <v>511</v>
      </c>
      <c r="C65" t="s">
        <v>14</v>
      </c>
      <c r="D65" t="s">
        <v>23</v>
      </c>
      <c r="E65" t="s">
        <v>44</v>
      </c>
      <c r="F65" t="s">
        <v>28</v>
      </c>
      <c r="G65" t="s">
        <v>47</v>
      </c>
      <c r="H65">
        <v>45</v>
      </c>
      <c r="I65" t="str">
        <f>IF(TBL[[#This Row],[Age]]&gt;=60, "Old", IF(TBL[[#This Row],[Age]]&gt;=30, "Adult", "Young"))</f>
        <v>Adult</v>
      </c>
      <c r="J65" s="1">
        <v>41493</v>
      </c>
      <c r="K65">
        <f t="shared" si="0"/>
        <v>2013</v>
      </c>
      <c r="L65">
        <f>MONTH(TBL[[#This Row],[Hire Date]])</f>
        <v>8</v>
      </c>
      <c r="M65" s="7">
        <v>236946</v>
      </c>
      <c r="N65" s="8">
        <v>0.37</v>
      </c>
      <c r="O65" t="s">
        <v>19</v>
      </c>
      <c r="P65" t="s">
        <v>63</v>
      </c>
      <c r="Q65" s="1" t="s">
        <v>21</v>
      </c>
    </row>
    <row r="66" spans="1:17" x14ac:dyDescent="0.35">
      <c r="A66" t="s">
        <v>512</v>
      </c>
      <c r="B66" t="s">
        <v>513</v>
      </c>
      <c r="C66" t="s">
        <v>68</v>
      </c>
      <c r="D66" t="s">
        <v>15</v>
      </c>
      <c r="E66" t="s">
        <v>32</v>
      </c>
      <c r="F66" t="s">
        <v>17</v>
      </c>
      <c r="G66" t="s">
        <v>47</v>
      </c>
      <c r="H66">
        <v>36</v>
      </c>
      <c r="I66" t="str">
        <f>IF(TBL[[#This Row],[Age]]&gt;=60, "Old", IF(TBL[[#This Row],[Age]]&gt;=30, "Adult", "Young"))</f>
        <v>Adult</v>
      </c>
      <c r="J66" s="1">
        <v>44435</v>
      </c>
      <c r="K66">
        <f t="shared" ref="K66:K129" si="1">YEAR(--J66)</f>
        <v>2021</v>
      </c>
      <c r="L66">
        <f>MONTH(TBL[[#This Row],[Hire Date]])</f>
        <v>8</v>
      </c>
      <c r="M66" s="7">
        <v>48906</v>
      </c>
      <c r="N66" s="8">
        <v>0</v>
      </c>
      <c r="O66" t="s">
        <v>19</v>
      </c>
      <c r="P66" t="s">
        <v>45</v>
      </c>
      <c r="Q66" s="1" t="s">
        <v>21</v>
      </c>
    </row>
    <row r="67" spans="1:17" x14ac:dyDescent="0.35">
      <c r="A67" t="s">
        <v>514</v>
      </c>
      <c r="B67" t="s">
        <v>404</v>
      </c>
      <c r="C67" t="s">
        <v>42</v>
      </c>
      <c r="D67" t="s">
        <v>50</v>
      </c>
      <c r="E67" t="s">
        <v>32</v>
      </c>
      <c r="F67" t="s">
        <v>17</v>
      </c>
      <c r="G67" t="s">
        <v>18</v>
      </c>
      <c r="H67">
        <v>38</v>
      </c>
      <c r="I67" t="str">
        <f>IF(TBL[[#This Row],[Age]]&gt;=60, "Old", IF(TBL[[#This Row],[Age]]&gt;=30, "Adult", "Young"))</f>
        <v>Adult</v>
      </c>
      <c r="J67" s="1">
        <v>39474</v>
      </c>
      <c r="K67">
        <f t="shared" si="1"/>
        <v>2008</v>
      </c>
      <c r="L67">
        <f>MONTH(TBL[[#This Row],[Hire Date]])</f>
        <v>1</v>
      </c>
      <c r="M67" s="7">
        <v>80024</v>
      </c>
      <c r="N67" s="8">
        <v>0</v>
      </c>
      <c r="O67" t="s">
        <v>19</v>
      </c>
      <c r="P67" t="s">
        <v>29</v>
      </c>
      <c r="Q67" s="1" t="s">
        <v>21</v>
      </c>
    </row>
    <row r="68" spans="1:17" x14ac:dyDescent="0.35">
      <c r="A68" t="s">
        <v>375</v>
      </c>
      <c r="B68" t="s">
        <v>515</v>
      </c>
      <c r="C68" t="s">
        <v>22</v>
      </c>
      <c r="D68" t="s">
        <v>23</v>
      </c>
      <c r="E68" t="s">
        <v>44</v>
      </c>
      <c r="F68" t="s">
        <v>17</v>
      </c>
      <c r="G68" t="s">
        <v>18</v>
      </c>
      <c r="H68">
        <v>41</v>
      </c>
      <c r="I68" t="str">
        <f>IF(TBL[[#This Row],[Age]]&gt;=60, "Old", IF(TBL[[#This Row],[Age]]&gt;=30, "Adult", "Young"))</f>
        <v>Adult</v>
      </c>
      <c r="J68" s="1">
        <v>40109</v>
      </c>
      <c r="K68">
        <f t="shared" si="1"/>
        <v>2009</v>
      </c>
      <c r="L68">
        <f>MONTH(TBL[[#This Row],[Hire Date]])</f>
        <v>10</v>
      </c>
      <c r="M68" s="7">
        <v>54415</v>
      </c>
      <c r="N68" s="8">
        <v>0</v>
      </c>
      <c r="O68" t="s">
        <v>19</v>
      </c>
      <c r="P68" t="s">
        <v>63</v>
      </c>
      <c r="Q68" s="1">
        <v>41661</v>
      </c>
    </row>
    <row r="69" spans="1:17" x14ac:dyDescent="0.35">
      <c r="A69" t="s">
        <v>516</v>
      </c>
      <c r="B69" t="s">
        <v>517</v>
      </c>
      <c r="C69" t="s">
        <v>62</v>
      </c>
      <c r="D69" t="s">
        <v>43</v>
      </c>
      <c r="E69" t="s">
        <v>16</v>
      </c>
      <c r="F69" t="s">
        <v>17</v>
      </c>
      <c r="G69" t="s">
        <v>24</v>
      </c>
      <c r="H69">
        <v>30</v>
      </c>
      <c r="I69" t="str">
        <f>IF(TBL[[#This Row],[Age]]&gt;=60, "Old", IF(TBL[[#This Row],[Age]]&gt;=30, "Adult", "Young"))</f>
        <v>Adult</v>
      </c>
      <c r="J69" s="1">
        <v>42484</v>
      </c>
      <c r="K69">
        <f t="shared" si="1"/>
        <v>2016</v>
      </c>
      <c r="L69">
        <f>MONTH(TBL[[#This Row],[Hire Date]])</f>
        <v>4</v>
      </c>
      <c r="M69" s="7">
        <v>120341</v>
      </c>
      <c r="N69" s="8">
        <v>7.0000000000000007E-2</v>
      </c>
      <c r="O69" t="s">
        <v>19</v>
      </c>
      <c r="P69" t="s">
        <v>63</v>
      </c>
      <c r="Q69" s="1" t="s">
        <v>21</v>
      </c>
    </row>
    <row r="70" spans="1:17" x14ac:dyDescent="0.35">
      <c r="A70" t="s">
        <v>177</v>
      </c>
      <c r="B70" t="s">
        <v>518</v>
      </c>
      <c r="C70" t="s">
        <v>14</v>
      </c>
      <c r="D70" t="s">
        <v>27</v>
      </c>
      <c r="E70" t="s">
        <v>44</v>
      </c>
      <c r="F70" t="s">
        <v>17</v>
      </c>
      <c r="G70" t="s">
        <v>51</v>
      </c>
      <c r="H70">
        <v>43</v>
      </c>
      <c r="I70" t="str">
        <f>IF(TBL[[#This Row],[Age]]&gt;=60, "Old", IF(TBL[[#This Row],[Age]]&gt;=30, "Adult", "Young"))</f>
        <v>Adult</v>
      </c>
      <c r="J70" s="1">
        <v>40029</v>
      </c>
      <c r="K70">
        <f t="shared" si="1"/>
        <v>2009</v>
      </c>
      <c r="L70">
        <f>MONTH(TBL[[#This Row],[Hire Date]])</f>
        <v>8</v>
      </c>
      <c r="M70" s="7">
        <v>208415</v>
      </c>
      <c r="N70" s="8">
        <v>0.35</v>
      </c>
      <c r="O70" t="s">
        <v>19</v>
      </c>
      <c r="P70" t="s">
        <v>63</v>
      </c>
      <c r="Q70" s="1" t="s">
        <v>21</v>
      </c>
    </row>
    <row r="71" spans="1:17" x14ac:dyDescent="0.35">
      <c r="A71" t="s">
        <v>519</v>
      </c>
      <c r="B71" t="s">
        <v>520</v>
      </c>
      <c r="C71" t="s">
        <v>38</v>
      </c>
      <c r="D71" t="s">
        <v>27</v>
      </c>
      <c r="E71" t="s">
        <v>44</v>
      </c>
      <c r="F71" t="s">
        <v>17</v>
      </c>
      <c r="G71" t="s">
        <v>24</v>
      </c>
      <c r="H71">
        <v>32</v>
      </c>
      <c r="I71" t="str">
        <f>IF(TBL[[#This Row],[Age]]&gt;=60, "Old", IF(TBL[[#This Row],[Age]]&gt;=30, "Adult", "Young"))</f>
        <v>Adult</v>
      </c>
      <c r="J71" s="1">
        <v>43835</v>
      </c>
      <c r="K71">
        <f t="shared" si="1"/>
        <v>2020</v>
      </c>
      <c r="L71">
        <f>MONTH(TBL[[#This Row],[Hire Date]])</f>
        <v>1</v>
      </c>
      <c r="M71" s="7">
        <v>78844</v>
      </c>
      <c r="N71" s="8">
        <v>0</v>
      </c>
      <c r="O71" t="s">
        <v>19</v>
      </c>
      <c r="P71" t="s">
        <v>63</v>
      </c>
      <c r="Q71" s="1" t="s">
        <v>21</v>
      </c>
    </row>
    <row r="72" spans="1:17" x14ac:dyDescent="0.35">
      <c r="A72" t="s">
        <v>521</v>
      </c>
      <c r="B72" t="s">
        <v>522</v>
      </c>
      <c r="C72" t="s">
        <v>129</v>
      </c>
      <c r="D72" t="s">
        <v>31</v>
      </c>
      <c r="E72" t="s">
        <v>36</v>
      </c>
      <c r="F72" t="s">
        <v>28</v>
      </c>
      <c r="G72" t="s">
        <v>18</v>
      </c>
      <c r="H72">
        <v>58</v>
      </c>
      <c r="I72" t="str">
        <f>IF(TBL[[#This Row],[Age]]&gt;=60, "Old", IF(TBL[[#This Row],[Age]]&gt;=30, "Adult", "Young"))</f>
        <v>Adult</v>
      </c>
      <c r="J72" s="1">
        <v>37399</v>
      </c>
      <c r="K72">
        <f t="shared" si="1"/>
        <v>2002</v>
      </c>
      <c r="L72">
        <f>MONTH(TBL[[#This Row],[Hire Date]])</f>
        <v>5</v>
      </c>
      <c r="M72" s="7">
        <v>76354</v>
      </c>
      <c r="N72" s="8">
        <v>0</v>
      </c>
      <c r="O72" t="s">
        <v>19</v>
      </c>
      <c r="P72" t="s">
        <v>39</v>
      </c>
      <c r="Q72" s="1">
        <v>44465</v>
      </c>
    </row>
    <row r="73" spans="1:17" x14ac:dyDescent="0.35">
      <c r="A73" t="s">
        <v>391</v>
      </c>
      <c r="B73" t="s">
        <v>523</v>
      </c>
      <c r="C73" t="s">
        <v>40</v>
      </c>
      <c r="D73" t="s">
        <v>15</v>
      </c>
      <c r="E73" t="s">
        <v>44</v>
      </c>
      <c r="F73" t="s">
        <v>17</v>
      </c>
      <c r="G73" t="s">
        <v>51</v>
      </c>
      <c r="H73">
        <v>37</v>
      </c>
      <c r="I73" t="str">
        <f>IF(TBL[[#This Row],[Age]]&gt;=60, "Old", IF(TBL[[#This Row],[Age]]&gt;=30, "Adult", "Young"))</f>
        <v>Adult</v>
      </c>
      <c r="J73" s="1">
        <v>43493</v>
      </c>
      <c r="K73">
        <f t="shared" si="1"/>
        <v>2019</v>
      </c>
      <c r="L73">
        <f>MONTH(TBL[[#This Row],[Hire Date]])</f>
        <v>1</v>
      </c>
      <c r="M73" s="7">
        <v>165927</v>
      </c>
      <c r="N73" s="8">
        <v>0.2</v>
      </c>
      <c r="O73" t="s">
        <v>19</v>
      </c>
      <c r="P73" t="s">
        <v>39</v>
      </c>
      <c r="Q73" s="1" t="s">
        <v>21</v>
      </c>
    </row>
    <row r="74" spans="1:17" x14ac:dyDescent="0.35">
      <c r="A74" t="s">
        <v>524</v>
      </c>
      <c r="B74" t="s">
        <v>525</v>
      </c>
      <c r="C74" t="s">
        <v>62</v>
      </c>
      <c r="D74" t="s">
        <v>65</v>
      </c>
      <c r="E74" t="s">
        <v>44</v>
      </c>
      <c r="F74" t="s">
        <v>17</v>
      </c>
      <c r="G74" t="s">
        <v>51</v>
      </c>
      <c r="H74">
        <v>38</v>
      </c>
      <c r="I74" t="str">
        <f>IF(TBL[[#This Row],[Age]]&gt;=60, "Old", IF(TBL[[#This Row],[Age]]&gt;=30, "Adult", "Young"))</f>
        <v>Adult</v>
      </c>
      <c r="J74" s="1">
        <v>44516</v>
      </c>
      <c r="K74">
        <f t="shared" si="1"/>
        <v>2021</v>
      </c>
      <c r="L74">
        <f>MONTH(TBL[[#This Row],[Hire Date]])</f>
        <v>11</v>
      </c>
      <c r="M74" s="7">
        <v>109812</v>
      </c>
      <c r="N74" s="8">
        <v>0.09</v>
      </c>
      <c r="O74" t="s">
        <v>52</v>
      </c>
      <c r="P74" t="s">
        <v>81</v>
      </c>
      <c r="Q74" s="1" t="s">
        <v>21</v>
      </c>
    </row>
    <row r="75" spans="1:17" x14ac:dyDescent="0.35">
      <c r="A75" t="s">
        <v>526</v>
      </c>
      <c r="B75" t="s">
        <v>527</v>
      </c>
      <c r="C75" t="s">
        <v>84</v>
      </c>
      <c r="D75" t="s">
        <v>31</v>
      </c>
      <c r="E75" t="s">
        <v>32</v>
      </c>
      <c r="F75" t="s">
        <v>28</v>
      </c>
      <c r="G75" t="s">
        <v>24</v>
      </c>
      <c r="H75">
        <v>55</v>
      </c>
      <c r="I75" t="str">
        <f>IF(TBL[[#This Row],[Age]]&gt;=60, "Old", IF(TBL[[#This Row],[Age]]&gt;=30, "Adult", "Young"))</f>
        <v>Adult</v>
      </c>
      <c r="J75" s="1">
        <v>36041</v>
      </c>
      <c r="K75">
        <f t="shared" si="1"/>
        <v>1998</v>
      </c>
      <c r="L75">
        <f>MONTH(TBL[[#This Row],[Hire Date]])</f>
        <v>9</v>
      </c>
      <c r="M75" s="7">
        <v>86299</v>
      </c>
      <c r="N75" s="8">
        <v>0</v>
      </c>
      <c r="O75" t="s">
        <v>19</v>
      </c>
      <c r="P75" t="s">
        <v>63</v>
      </c>
      <c r="Q75" s="1" t="s">
        <v>21</v>
      </c>
    </row>
    <row r="76" spans="1:17" x14ac:dyDescent="0.35">
      <c r="A76" t="s">
        <v>182</v>
      </c>
      <c r="B76" t="s">
        <v>528</v>
      </c>
      <c r="C76" t="s">
        <v>14</v>
      </c>
      <c r="D76" t="s">
        <v>43</v>
      </c>
      <c r="E76" t="s">
        <v>16</v>
      </c>
      <c r="F76" t="s">
        <v>28</v>
      </c>
      <c r="G76" t="s">
        <v>51</v>
      </c>
      <c r="H76">
        <v>57</v>
      </c>
      <c r="I76" t="str">
        <f>IF(TBL[[#This Row],[Age]]&gt;=60, "Old", IF(TBL[[#This Row],[Age]]&gt;=30, "Adult", "Young"))</f>
        <v>Adult</v>
      </c>
      <c r="J76" s="1">
        <v>37828</v>
      </c>
      <c r="K76">
        <f t="shared" si="1"/>
        <v>2003</v>
      </c>
      <c r="L76">
        <f>MONTH(TBL[[#This Row],[Hire Date]])</f>
        <v>7</v>
      </c>
      <c r="M76" s="7">
        <v>206624</v>
      </c>
      <c r="N76" s="8">
        <v>0.4</v>
      </c>
      <c r="O76" t="s">
        <v>52</v>
      </c>
      <c r="P76" t="s">
        <v>53</v>
      </c>
      <c r="Q76" s="1" t="s">
        <v>21</v>
      </c>
    </row>
    <row r="77" spans="1:17" x14ac:dyDescent="0.35">
      <c r="A77" t="s">
        <v>169</v>
      </c>
      <c r="B77" t="s">
        <v>529</v>
      </c>
      <c r="C77" t="s">
        <v>73</v>
      </c>
      <c r="D77" t="s">
        <v>27</v>
      </c>
      <c r="E77" t="s">
        <v>36</v>
      </c>
      <c r="F77" t="s">
        <v>28</v>
      </c>
      <c r="G77" t="s">
        <v>51</v>
      </c>
      <c r="H77">
        <v>36</v>
      </c>
      <c r="I77" t="str">
        <f>IF(TBL[[#This Row],[Age]]&gt;=60, "Old", IF(TBL[[#This Row],[Age]]&gt;=30, "Adult", "Young"))</f>
        <v>Adult</v>
      </c>
      <c r="J77" s="1">
        <v>40535</v>
      </c>
      <c r="K77">
        <f t="shared" si="1"/>
        <v>2010</v>
      </c>
      <c r="L77">
        <f>MONTH(TBL[[#This Row],[Hire Date]])</f>
        <v>12</v>
      </c>
      <c r="M77" s="7">
        <v>53215</v>
      </c>
      <c r="N77" s="8">
        <v>0</v>
      </c>
      <c r="O77" t="s">
        <v>52</v>
      </c>
      <c r="P77" t="s">
        <v>53</v>
      </c>
      <c r="Q77" s="1">
        <v>41725</v>
      </c>
    </row>
    <row r="78" spans="1:17" x14ac:dyDescent="0.35">
      <c r="A78" t="s">
        <v>366</v>
      </c>
      <c r="B78" t="s">
        <v>530</v>
      </c>
      <c r="C78" t="s">
        <v>58</v>
      </c>
      <c r="D78" t="s">
        <v>31</v>
      </c>
      <c r="E78" t="s">
        <v>16</v>
      </c>
      <c r="F78" t="s">
        <v>17</v>
      </c>
      <c r="G78" t="s">
        <v>24</v>
      </c>
      <c r="H78">
        <v>30</v>
      </c>
      <c r="I78" t="str">
        <f>IF(TBL[[#This Row],[Age]]&gt;=60, "Old", IF(TBL[[#This Row],[Age]]&gt;=30, "Adult", "Young"))</f>
        <v>Adult</v>
      </c>
      <c r="J78" s="1">
        <v>42877</v>
      </c>
      <c r="K78">
        <f t="shared" si="1"/>
        <v>2017</v>
      </c>
      <c r="L78">
        <f>MONTH(TBL[[#This Row],[Hire Date]])</f>
        <v>5</v>
      </c>
      <c r="M78" s="7">
        <v>86858</v>
      </c>
      <c r="N78" s="8">
        <v>0</v>
      </c>
      <c r="O78" t="s">
        <v>33</v>
      </c>
      <c r="P78" t="s">
        <v>80</v>
      </c>
      <c r="Q78" s="1">
        <v>43016</v>
      </c>
    </row>
    <row r="79" spans="1:17" x14ac:dyDescent="0.35">
      <c r="A79" t="s">
        <v>531</v>
      </c>
      <c r="B79" t="s">
        <v>532</v>
      </c>
      <c r="C79" t="s">
        <v>56</v>
      </c>
      <c r="D79" t="s">
        <v>27</v>
      </c>
      <c r="E79" t="s">
        <v>36</v>
      </c>
      <c r="F79" t="s">
        <v>28</v>
      </c>
      <c r="G79" t="s">
        <v>24</v>
      </c>
      <c r="H79">
        <v>40</v>
      </c>
      <c r="I79" t="str">
        <f>IF(TBL[[#This Row],[Age]]&gt;=60, "Old", IF(TBL[[#This Row],[Age]]&gt;=30, "Adult", "Young"))</f>
        <v>Adult</v>
      </c>
      <c r="J79" s="1">
        <v>39265</v>
      </c>
      <c r="K79">
        <f t="shared" si="1"/>
        <v>2007</v>
      </c>
      <c r="L79">
        <f>MONTH(TBL[[#This Row],[Hire Date]])</f>
        <v>7</v>
      </c>
      <c r="M79" s="7">
        <v>93971</v>
      </c>
      <c r="N79" s="8">
        <v>0.08</v>
      </c>
      <c r="O79" t="s">
        <v>33</v>
      </c>
      <c r="P79" t="s">
        <v>80</v>
      </c>
      <c r="Q79" s="1" t="s">
        <v>21</v>
      </c>
    </row>
    <row r="80" spans="1:17" x14ac:dyDescent="0.35">
      <c r="A80" t="s">
        <v>533</v>
      </c>
      <c r="B80" t="s">
        <v>534</v>
      </c>
      <c r="C80" t="s">
        <v>64</v>
      </c>
      <c r="D80" t="s">
        <v>15</v>
      </c>
      <c r="E80" t="s">
        <v>32</v>
      </c>
      <c r="F80" t="s">
        <v>28</v>
      </c>
      <c r="G80" t="s">
        <v>51</v>
      </c>
      <c r="H80">
        <v>34</v>
      </c>
      <c r="I80" t="str">
        <f>IF(TBL[[#This Row],[Age]]&gt;=60, "Old", IF(TBL[[#This Row],[Age]]&gt;=30, "Adult", "Young"))</f>
        <v>Adult</v>
      </c>
      <c r="J80" s="1">
        <v>42182</v>
      </c>
      <c r="K80">
        <f t="shared" si="1"/>
        <v>2015</v>
      </c>
      <c r="L80">
        <f>MONTH(TBL[[#This Row],[Hire Date]])</f>
        <v>6</v>
      </c>
      <c r="M80" s="7">
        <v>57008</v>
      </c>
      <c r="N80" s="8">
        <v>0</v>
      </c>
      <c r="O80" t="s">
        <v>19</v>
      </c>
      <c r="P80" t="s">
        <v>39</v>
      </c>
      <c r="Q80" s="1" t="s">
        <v>21</v>
      </c>
    </row>
    <row r="81" spans="1:17" x14ac:dyDescent="0.35">
      <c r="A81" t="s">
        <v>535</v>
      </c>
      <c r="B81" t="s">
        <v>536</v>
      </c>
      <c r="C81" t="s">
        <v>61</v>
      </c>
      <c r="D81" t="s">
        <v>15</v>
      </c>
      <c r="E81" t="s">
        <v>36</v>
      </c>
      <c r="F81" t="s">
        <v>28</v>
      </c>
      <c r="G81" t="s">
        <v>51</v>
      </c>
      <c r="H81">
        <v>60</v>
      </c>
      <c r="I81" t="str">
        <f>IF(TBL[[#This Row],[Age]]&gt;=60, "Old", IF(TBL[[#This Row],[Age]]&gt;=30, "Adult", "Young"))</f>
        <v>Old</v>
      </c>
      <c r="J81" s="1">
        <v>42270</v>
      </c>
      <c r="K81">
        <f t="shared" si="1"/>
        <v>2015</v>
      </c>
      <c r="L81">
        <f>MONTH(TBL[[#This Row],[Hire Date]])</f>
        <v>9</v>
      </c>
      <c r="M81" s="7">
        <v>141899</v>
      </c>
      <c r="N81" s="8">
        <v>0.15</v>
      </c>
      <c r="O81" t="s">
        <v>19</v>
      </c>
      <c r="P81" t="s">
        <v>39</v>
      </c>
      <c r="Q81" s="1" t="s">
        <v>21</v>
      </c>
    </row>
    <row r="82" spans="1:17" x14ac:dyDescent="0.35">
      <c r="A82" t="s">
        <v>537</v>
      </c>
      <c r="B82" t="s">
        <v>538</v>
      </c>
      <c r="C82" t="s">
        <v>64</v>
      </c>
      <c r="D82" t="s">
        <v>43</v>
      </c>
      <c r="E82" t="s">
        <v>32</v>
      </c>
      <c r="F82" t="s">
        <v>28</v>
      </c>
      <c r="G82" t="s">
        <v>47</v>
      </c>
      <c r="H82">
        <v>41</v>
      </c>
      <c r="I82" t="str">
        <f>IF(TBL[[#This Row],[Age]]&gt;=60, "Old", IF(TBL[[#This Row],[Age]]&gt;=30, "Adult", "Young"))</f>
        <v>Adult</v>
      </c>
      <c r="J82" s="1">
        <v>42626</v>
      </c>
      <c r="K82">
        <f t="shared" si="1"/>
        <v>2016</v>
      </c>
      <c r="L82">
        <f>MONTH(TBL[[#This Row],[Hire Date]])</f>
        <v>9</v>
      </c>
      <c r="M82" s="7">
        <v>64847</v>
      </c>
      <c r="N82" s="8">
        <v>0</v>
      </c>
      <c r="O82" t="s">
        <v>19</v>
      </c>
      <c r="P82" t="s">
        <v>45</v>
      </c>
      <c r="Q82" s="1" t="s">
        <v>21</v>
      </c>
    </row>
    <row r="83" spans="1:17" x14ac:dyDescent="0.35">
      <c r="A83" t="s">
        <v>539</v>
      </c>
      <c r="B83" t="s">
        <v>540</v>
      </c>
      <c r="C83" t="s">
        <v>97</v>
      </c>
      <c r="D83" t="s">
        <v>31</v>
      </c>
      <c r="E83" t="s">
        <v>16</v>
      </c>
      <c r="F83" t="s">
        <v>28</v>
      </c>
      <c r="G83" t="s">
        <v>18</v>
      </c>
      <c r="H83">
        <v>53</v>
      </c>
      <c r="I83" t="str">
        <f>IF(TBL[[#This Row],[Age]]&gt;=60, "Old", IF(TBL[[#This Row],[Age]]&gt;=30, "Adult", "Young"))</f>
        <v>Adult</v>
      </c>
      <c r="J83" s="1">
        <v>33702</v>
      </c>
      <c r="K83">
        <f t="shared" si="1"/>
        <v>1992</v>
      </c>
      <c r="L83">
        <f>MONTH(TBL[[#This Row],[Hire Date]])</f>
        <v>4</v>
      </c>
      <c r="M83" s="7">
        <v>116878</v>
      </c>
      <c r="N83" s="8">
        <v>0.11</v>
      </c>
      <c r="O83" t="s">
        <v>19</v>
      </c>
      <c r="P83" t="s">
        <v>45</v>
      </c>
      <c r="Q83" s="1" t="s">
        <v>21</v>
      </c>
    </row>
    <row r="84" spans="1:17" x14ac:dyDescent="0.35">
      <c r="A84" t="s">
        <v>541</v>
      </c>
      <c r="B84" t="s">
        <v>542</v>
      </c>
      <c r="C84" t="s">
        <v>30</v>
      </c>
      <c r="D84" t="s">
        <v>31</v>
      </c>
      <c r="E84" t="s">
        <v>44</v>
      </c>
      <c r="F84" t="s">
        <v>28</v>
      </c>
      <c r="G84" t="s">
        <v>47</v>
      </c>
      <c r="H84">
        <v>45</v>
      </c>
      <c r="I84" t="str">
        <f>IF(TBL[[#This Row],[Age]]&gt;=60, "Old", IF(TBL[[#This Row],[Age]]&gt;=30, "Adult", "Young"))</f>
        <v>Adult</v>
      </c>
      <c r="J84" s="1">
        <v>38388</v>
      </c>
      <c r="K84">
        <f t="shared" si="1"/>
        <v>2005</v>
      </c>
      <c r="L84">
        <f>MONTH(TBL[[#This Row],[Hire Date]])</f>
        <v>2</v>
      </c>
      <c r="M84" s="7">
        <v>70505</v>
      </c>
      <c r="N84" s="8">
        <v>0</v>
      </c>
      <c r="O84" t="s">
        <v>19</v>
      </c>
      <c r="P84" t="s">
        <v>25</v>
      </c>
      <c r="Q84" s="1" t="s">
        <v>21</v>
      </c>
    </row>
    <row r="85" spans="1:17" x14ac:dyDescent="0.35">
      <c r="A85" t="s">
        <v>543</v>
      </c>
      <c r="B85" t="s">
        <v>544</v>
      </c>
      <c r="C85" t="s">
        <v>40</v>
      </c>
      <c r="D85" t="s">
        <v>31</v>
      </c>
      <c r="E85" t="s">
        <v>16</v>
      </c>
      <c r="F85" t="s">
        <v>17</v>
      </c>
      <c r="G85" t="s">
        <v>51</v>
      </c>
      <c r="H85">
        <v>30</v>
      </c>
      <c r="I85" t="str">
        <f>IF(TBL[[#This Row],[Age]]&gt;=60, "Old", IF(TBL[[#This Row],[Age]]&gt;=30, "Adult", "Young"))</f>
        <v>Adult</v>
      </c>
      <c r="J85" s="1">
        <v>42512</v>
      </c>
      <c r="K85">
        <f t="shared" si="1"/>
        <v>2016</v>
      </c>
      <c r="L85">
        <f>MONTH(TBL[[#This Row],[Hire Date]])</f>
        <v>5</v>
      </c>
      <c r="M85" s="7">
        <v>189702</v>
      </c>
      <c r="N85" s="8">
        <v>0.28000000000000003</v>
      </c>
      <c r="O85" t="s">
        <v>52</v>
      </c>
      <c r="P85" t="s">
        <v>81</v>
      </c>
      <c r="Q85" s="1">
        <v>44186</v>
      </c>
    </row>
    <row r="86" spans="1:17" x14ac:dyDescent="0.35">
      <c r="A86" t="s">
        <v>545</v>
      </c>
      <c r="B86" t="s">
        <v>546</v>
      </c>
      <c r="C86" t="s">
        <v>40</v>
      </c>
      <c r="D86" t="s">
        <v>65</v>
      </c>
      <c r="E86" t="s">
        <v>44</v>
      </c>
      <c r="F86" t="s">
        <v>28</v>
      </c>
      <c r="G86" t="s">
        <v>18</v>
      </c>
      <c r="H86">
        <v>26</v>
      </c>
      <c r="I86" t="str">
        <f>IF(TBL[[#This Row],[Age]]&gt;=60, "Old", IF(TBL[[#This Row],[Age]]&gt;=30, "Adult", "Young"))</f>
        <v>Young</v>
      </c>
      <c r="J86" s="1">
        <v>44040</v>
      </c>
      <c r="K86">
        <f t="shared" si="1"/>
        <v>2020</v>
      </c>
      <c r="L86">
        <f>MONTH(TBL[[#This Row],[Hire Date]])</f>
        <v>7</v>
      </c>
      <c r="M86" s="7">
        <v>180664</v>
      </c>
      <c r="N86" s="8">
        <v>0.27</v>
      </c>
      <c r="O86" t="s">
        <v>19</v>
      </c>
      <c r="P86" t="s">
        <v>20</v>
      </c>
      <c r="Q86" s="1" t="s">
        <v>21</v>
      </c>
    </row>
    <row r="87" spans="1:17" x14ac:dyDescent="0.35">
      <c r="A87" t="s">
        <v>547</v>
      </c>
      <c r="B87" t="s">
        <v>548</v>
      </c>
      <c r="C87" t="s">
        <v>83</v>
      </c>
      <c r="D87" t="s">
        <v>23</v>
      </c>
      <c r="E87" t="s">
        <v>36</v>
      </c>
      <c r="F87" t="s">
        <v>17</v>
      </c>
      <c r="G87" t="s">
        <v>24</v>
      </c>
      <c r="H87">
        <v>45</v>
      </c>
      <c r="I87" t="str">
        <f>IF(TBL[[#This Row],[Age]]&gt;=60, "Old", IF(TBL[[#This Row],[Age]]&gt;=30, "Adult", "Young"))</f>
        <v>Adult</v>
      </c>
      <c r="J87" s="1">
        <v>37972</v>
      </c>
      <c r="K87">
        <f t="shared" si="1"/>
        <v>2003</v>
      </c>
      <c r="L87">
        <f>MONTH(TBL[[#This Row],[Hire Date]])</f>
        <v>12</v>
      </c>
      <c r="M87" s="7">
        <v>48345</v>
      </c>
      <c r="N87" s="8">
        <v>0</v>
      </c>
      <c r="O87" t="s">
        <v>33</v>
      </c>
      <c r="P87" t="s">
        <v>34</v>
      </c>
      <c r="Q87" s="1" t="s">
        <v>21</v>
      </c>
    </row>
    <row r="88" spans="1:17" x14ac:dyDescent="0.35">
      <c r="A88" t="s">
        <v>549</v>
      </c>
      <c r="B88" t="s">
        <v>550</v>
      </c>
      <c r="C88" t="s">
        <v>40</v>
      </c>
      <c r="D88" t="s">
        <v>23</v>
      </c>
      <c r="E88" t="s">
        <v>36</v>
      </c>
      <c r="F88" t="s">
        <v>28</v>
      </c>
      <c r="G88" t="s">
        <v>24</v>
      </c>
      <c r="H88">
        <v>42</v>
      </c>
      <c r="I88" t="str">
        <f>IF(TBL[[#This Row],[Age]]&gt;=60, "Old", IF(TBL[[#This Row],[Age]]&gt;=30, "Adult", "Young"))</f>
        <v>Adult</v>
      </c>
      <c r="J88" s="1">
        <v>41655</v>
      </c>
      <c r="K88">
        <f t="shared" si="1"/>
        <v>2014</v>
      </c>
      <c r="L88">
        <f>MONTH(TBL[[#This Row],[Hire Date]])</f>
        <v>1</v>
      </c>
      <c r="M88" s="7">
        <v>152214</v>
      </c>
      <c r="N88" s="8">
        <v>0.3</v>
      </c>
      <c r="O88" t="s">
        <v>33</v>
      </c>
      <c r="P88" t="s">
        <v>60</v>
      </c>
      <c r="Q88" s="1" t="s">
        <v>21</v>
      </c>
    </row>
    <row r="89" spans="1:17" x14ac:dyDescent="0.35">
      <c r="A89" t="s">
        <v>308</v>
      </c>
      <c r="B89" t="s">
        <v>551</v>
      </c>
      <c r="C89" t="s">
        <v>38</v>
      </c>
      <c r="D89" t="s">
        <v>27</v>
      </c>
      <c r="E89" t="s">
        <v>32</v>
      </c>
      <c r="F89" t="s">
        <v>17</v>
      </c>
      <c r="G89" t="s">
        <v>51</v>
      </c>
      <c r="H89">
        <v>41</v>
      </c>
      <c r="I89" t="str">
        <f>IF(TBL[[#This Row],[Age]]&gt;=60, "Old", IF(TBL[[#This Row],[Age]]&gt;=30, "Adult", "Young"))</f>
        <v>Adult</v>
      </c>
      <c r="J89" s="1">
        <v>39931</v>
      </c>
      <c r="K89">
        <f t="shared" si="1"/>
        <v>2009</v>
      </c>
      <c r="L89">
        <f>MONTH(TBL[[#This Row],[Hire Date]])</f>
        <v>4</v>
      </c>
      <c r="M89" s="7">
        <v>69803</v>
      </c>
      <c r="N89" s="8">
        <v>0</v>
      </c>
      <c r="O89" t="s">
        <v>52</v>
      </c>
      <c r="P89" t="s">
        <v>81</v>
      </c>
      <c r="Q89" s="1" t="s">
        <v>21</v>
      </c>
    </row>
    <row r="90" spans="1:17" x14ac:dyDescent="0.35">
      <c r="A90" t="s">
        <v>190</v>
      </c>
      <c r="B90" t="s">
        <v>552</v>
      </c>
      <c r="C90" t="s">
        <v>71</v>
      </c>
      <c r="D90" t="s">
        <v>27</v>
      </c>
      <c r="E90" t="s">
        <v>32</v>
      </c>
      <c r="F90" t="s">
        <v>17</v>
      </c>
      <c r="G90" t="s">
        <v>51</v>
      </c>
      <c r="H90">
        <v>48</v>
      </c>
      <c r="I90" t="str">
        <f>IF(TBL[[#This Row],[Age]]&gt;=60, "Old", IF(TBL[[#This Row],[Age]]&gt;=30, "Adult", "Young"))</f>
        <v>Adult</v>
      </c>
      <c r="J90" s="1">
        <v>43650</v>
      </c>
      <c r="K90">
        <f t="shared" si="1"/>
        <v>2019</v>
      </c>
      <c r="L90">
        <f>MONTH(TBL[[#This Row],[Hire Date]])</f>
        <v>7</v>
      </c>
      <c r="M90" s="7">
        <v>76588</v>
      </c>
      <c r="N90" s="8">
        <v>0</v>
      </c>
      <c r="O90" t="s">
        <v>52</v>
      </c>
      <c r="P90" t="s">
        <v>66</v>
      </c>
      <c r="Q90" s="1" t="s">
        <v>21</v>
      </c>
    </row>
    <row r="91" spans="1:17" x14ac:dyDescent="0.35">
      <c r="A91" t="s">
        <v>553</v>
      </c>
      <c r="B91" t="s">
        <v>554</v>
      </c>
      <c r="C91" t="s">
        <v>35</v>
      </c>
      <c r="D91" t="s">
        <v>27</v>
      </c>
      <c r="E91" t="s">
        <v>36</v>
      </c>
      <c r="F91" t="s">
        <v>28</v>
      </c>
      <c r="G91" t="s">
        <v>18</v>
      </c>
      <c r="H91">
        <v>29</v>
      </c>
      <c r="I91" t="str">
        <f>IF(TBL[[#This Row],[Age]]&gt;=60, "Old", IF(TBL[[#This Row],[Age]]&gt;=30, "Adult", "Young"))</f>
        <v>Young</v>
      </c>
      <c r="J91" s="1">
        <v>43444</v>
      </c>
      <c r="K91">
        <f t="shared" si="1"/>
        <v>2018</v>
      </c>
      <c r="L91">
        <f>MONTH(TBL[[#This Row],[Hire Date]])</f>
        <v>12</v>
      </c>
      <c r="M91" s="7">
        <v>84596</v>
      </c>
      <c r="N91" s="8">
        <v>0</v>
      </c>
      <c r="O91" t="s">
        <v>19</v>
      </c>
      <c r="P91" t="s">
        <v>45</v>
      </c>
      <c r="Q91" s="1" t="s">
        <v>21</v>
      </c>
    </row>
    <row r="92" spans="1:17" x14ac:dyDescent="0.35">
      <c r="A92" t="s">
        <v>555</v>
      </c>
      <c r="B92" t="s">
        <v>556</v>
      </c>
      <c r="C92" t="s">
        <v>62</v>
      </c>
      <c r="D92" t="s">
        <v>43</v>
      </c>
      <c r="E92" t="s">
        <v>16</v>
      </c>
      <c r="F92" t="s">
        <v>28</v>
      </c>
      <c r="G92" t="s">
        <v>24</v>
      </c>
      <c r="H92">
        <v>27</v>
      </c>
      <c r="I92" t="str">
        <f>IF(TBL[[#This Row],[Age]]&gt;=60, "Old", IF(TBL[[#This Row],[Age]]&gt;=30, "Adult", "Young"))</f>
        <v>Young</v>
      </c>
      <c r="J92" s="1">
        <v>43368</v>
      </c>
      <c r="K92">
        <f t="shared" si="1"/>
        <v>2018</v>
      </c>
      <c r="L92">
        <f>MONTH(TBL[[#This Row],[Hire Date]])</f>
        <v>9</v>
      </c>
      <c r="M92" s="7">
        <v>114441</v>
      </c>
      <c r="N92" s="8">
        <v>0.1</v>
      </c>
      <c r="O92" t="s">
        <v>33</v>
      </c>
      <c r="P92" t="s">
        <v>80</v>
      </c>
      <c r="Q92" s="1">
        <v>43821</v>
      </c>
    </row>
    <row r="93" spans="1:17" x14ac:dyDescent="0.35">
      <c r="A93" t="s">
        <v>358</v>
      </c>
      <c r="B93" t="s">
        <v>557</v>
      </c>
      <c r="C93" t="s">
        <v>61</v>
      </c>
      <c r="D93" t="s">
        <v>15</v>
      </c>
      <c r="E93" t="s">
        <v>44</v>
      </c>
      <c r="F93" t="s">
        <v>17</v>
      </c>
      <c r="G93" t="s">
        <v>24</v>
      </c>
      <c r="H93">
        <v>33</v>
      </c>
      <c r="I93" t="str">
        <f>IF(TBL[[#This Row],[Age]]&gt;=60, "Old", IF(TBL[[#This Row],[Age]]&gt;=30, "Adult", "Young"))</f>
        <v>Adult</v>
      </c>
      <c r="J93" s="1">
        <v>43211</v>
      </c>
      <c r="K93">
        <f t="shared" si="1"/>
        <v>2018</v>
      </c>
      <c r="L93">
        <f>MONTH(TBL[[#This Row],[Hire Date]])</f>
        <v>4</v>
      </c>
      <c r="M93" s="7">
        <v>140402</v>
      </c>
      <c r="N93" s="8">
        <v>0.15</v>
      </c>
      <c r="O93" t="s">
        <v>33</v>
      </c>
      <c r="P93" t="s">
        <v>60</v>
      </c>
      <c r="Q93" s="1" t="s">
        <v>21</v>
      </c>
    </row>
    <row r="94" spans="1:17" x14ac:dyDescent="0.35">
      <c r="A94" t="s">
        <v>558</v>
      </c>
      <c r="B94" t="s">
        <v>559</v>
      </c>
      <c r="C94" t="s">
        <v>64</v>
      </c>
      <c r="D94" t="s">
        <v>15</v>
      </c>
      <c r="E94" t="s">
        <v>32</v>
      </c>
      <c r="F94" t="s">
        <v>17</v>
      </c>
      <c r="G94" t="s">
        <v>51</v>
      </c>
      <c r="H94">
        <v>26</v>
      </c>
      <c r="I94" t="str">
        <f>IF(TBL[[#This Row],[Age]]&gt;=60, "Old", IF(TBL[[#This Row],[Age]]&gt;=30, "Adult", "Young"))</f>
        <v>Young</v>
      </c>
      <c r="J94" s="1">
        <v>43578</v>
      </c>
      <c r="K94">
        <f t="shared" si="1"/>
        <v>2019</v>
      </c>
      <c r="L94">
        <f>MONTH(TBL[[#This Row],[Hire Date]])</f>
        <v>4</v>
      </c>
      <c r="M94" s="7">
        <v>59817</v>
      </c>
      <c r="N94" s="8">
        <v>0</v>
      </c>
      <c r="O94" t="s">
        <v>52</v>
      </c>
      <c r="P94" t="s">
        <v>53</v>
      </c>
      <c r="Q94" s="1" t="s">
        <v>21</v>
      </c>
    </row>
    <row r="95" spans="1:17" x14ac:dyDescent="0.35">
      <c r="A95" t="s">
        <v>560</v>
      </c>
      <c r="B95" t="s">
        <v>561</v>
      </c>
      <c r="C95" t="s">
        <v>94</v>
      </c>
      <c r="D95" t="s">
        <v>50</v>
      </c>
      <c r="E95" t="s">
        <v>36</v>
      </c>
      <c r="F95" t="s">
        <v>28</v>
      </c>
      <c r="G95" t="s">
        <v>24</v>
      </c>
      <c r="H95">
        <v>31</v>
      </c>
      <c r="I95" t="str">
        <f>IF(TBL[[#This Row],[Age]]&gt;=60, "Old", IF(TBL[[#This Row],[Age]]&gt;=30, "Adult", "Young"))</f>
        <v>Adult</v>
      </c>
      <c r="J95" s="1">
        <v>42938</v>
      </c>
      <c r="K95">
        <f t="shared" si="1"/>
        <v>2017</v>
      </c>
      <c r="L95">
        <f>MONTH(TBL[[#This Row],[Hire Date]])</f>
        <v>7</v>
      </c>
      <c r="M95" s="7">
        <v>55854</v>
      </c>
      <c r="N95" s="8">
        <v>0</v>
      </c>
      <c r="O95" t="s">
        <v>19</v>
      </c>
      <c r="P95" t="s">
        <v>25</v>
      </c>
      <c r="Q95" s="1" t="s">
        <v>21</v>
      </c>
    </row>
    <row r="96" spans="1:17" x14ac:dyDescent="0.35">
      <c r="A96" t="s">
        <v>562</v>
      </c>
      <c r="B96" t="s">
        <v>563</v>
      </c>
      <c r="C96" t="s">
        <v>77</v>
      </c>
      <c r="D96" t="s">
        <v>23</v>
      </c>
      <c r="E96" t="s">
        <v>16</v>
      </c>
      <c r="F96" t="s">
        <v>28</v>
      </c>
      <c r="G96" t="s">
        <v>24</v>
      </c>
      <c r="H96">
        <v>53</v>
      </c>
      <c r="I96" t="str">
        <f>IF(TBL[[#This Row],[Age]]&gt;=60, "Old", IF(TBL[[#This Row],[Age]]&gt;=30, "Adult", "Young"))</f>
        <v>Adult</v>
      </c>
      <c r="J96" s="1">
        <v>37576</v>
      </c>
      <c r="K96">
        <f t="shared" si="1"/>
        <v>2002</v>
      </c>
      <c r="L96">
        <f>MONTH(TBL[[#This Row],[Hire Date]])</f>
        <v>11</v>
      </c>
      <c r="M96" s="7">
        <v>95998</v>
      </c>
      <c r="N96" s="8">
        <v>0</v>
      </c>
      <c r="O96" t="s">
        <v>19</v>
      </c>
      <c r="P96" t="s">
        <v>63</v>
      </c>
      <c r="Q96" s="1" t="s">
        <v>21</v>
      </c>
    </row>
    <row r="97" spans="1:17" x14ac:dyDescent="0.35">
      <c r="A97" t="s">
        <v>564</v>
      </c>
      <c r="B97" t="s">
        <v>565</v>
      </c>
      <c r="C97" t="s">
        <v>61</v>
      </c>
      <c r="D97" t="s">
        <v>50</v>
      </c>
      <c r="E97" t="s">
        <v>36</v>
      </c>
      <c r="F97" t="s">
        <v>17</v>
      </c>
      <c r="G97" t="s">
        <v>24</v>
      </c>
      <c r="H97">
        <v>34</v>
      </c>
      <c r="I97" t="str">
        <f>IF(TBL[[#This Row],[Age]]&gt;=60, "Old", IF(TBL[[#This Row],[Age]]&gt;=30, "Adult", "Young"))</f>
        <v>Adult</v>
      </c>
      <c r="J97" s="1">
        <v>42116</v>
      </c>
      <c r="K97">
        <f t="shared" si="1"/>
        <v>2015</v>
      </c>
      <c r="L97">
        <f>MONTH(TBL[[#This Row],[Hire Date]])</f>
        <v>4</v>
      </c>
      <c r="M97" s="7">
        <v>154941</v>
      </c>
      <c r="N97" s="8">
        <v>0.13</v>
      </c>
      <c r="O97" t="s">
        <v>19</v>
      </c>
      <c r="P97" t="s">
        <v>39</v>
      </c>
      <c r="Q97" s="1" t="s">
        <v>21</v>
      </c>
    </row>
    <row r="98" spans="1:17" x14ac:dyDescent="0.35">
      <c r="A98" t="s">
        <v>566</v>
      </c>
      <c r="B98" t="s">
        <v>496</v>
      </c>
      <c r="C98" t="s">
        <v>14</v>
      </c>
      <c r="D98" t="s">
        <v>15</v>
      </c>
      <c r="E98" t="s">
        <v>44</v>
      </c>
      <c r="F98" t="s">
        <v>17</v>
      </c>
      <c r="G98" t="s">
        <v>24</v>
      </c>
      <c r="H98">
        <v>54</v>
      </c>
      <c r="I98" t="str">
        <f>IF(TBL[[#This Row],[Age]]&gt;=60, "Old", IF(TBL[[#This Row],[Age]]&gt;=30, "Adult", "Young"))</f>
        <v>Adult</v>
      </c>
      <c r="J98" s="1">
        <v>40734</v>
      </c>
      <c r="K98">
        <f t="shared" si="1"/>
        <v>2011</v>
      </c>
      <c r="L98">
        <f>MONTH(TBL[[#This Row],[Hire Date]])</f>
        <v>7</v>
      </c>
      <c r="M98" s="7">
        <v>247022</v>
      </c>
      <c r="N98" s="8">
        <v>0.3</v>
      </c>
      <c r="O98" t="s">
        <v>33</v>
      </c>
      <c r="P98" t="s">
        <v>60</v>
      </c>
      <c r="Q98" s="1" t="s">
        <v>21</v>
      </c>
    </row>
    <row r="99" spans="1:17" x14ac:dyDescent="0.35">
      <c r="A99" t="s">
        <v>567</v>
      </c>
      <c r="B99" t="s">
        <v>568</v>
      </c>
      <c r="C99" t="s">
        <v>71</v>
      </c>
      <c r="D99" t="s">
        <v>27</v>
      </c>
      <c r="E99" t="s">
        <v>36</v>
      </c>
      <c r="F99" t="s">
        <v>17</v>
      </c>
      <c r="G99" t="s">
        <v>51</v>
      </c>
      <c r="H99">
        <v>32</v>
      </c>
      <c r="I99" t="str">
        <f>IF(TBL[[#This Row],[Age]]&gt;=60, "Old", IF(TBL[[#This Row],[Age]]&gt;=30, "Adult", "Young"))</f>
        <v>Adult</v>
      </c>
      <c r="J99" s="1">
        <v>44474</v>
      </c>
      <c r="K99">
        <f t="shared" si="1"/>
        <v>2021</v>
      </c>
      <c r="L99">
        <f>MONTH(TBL[[#This Row],[Hire Date]])</f>
        <v>10</v>
      </c>
      <c r="M99" s="7">
        <v>88072</v>
      </c>
      <c r="N99" s="8">
        <v>0</v>
      </c>
      <c r="O99" t="s">
        <v>52</v>
      </c>
      <c r="P99" t="s">
        <v>53</v>
      </c>
      <c r="Q99" s="1" t="s">
        <v>21</v>
      </c>
    </row>
    <row r="100" spans="1:17" x14ac:dyDescent="0.35">
      <c r="A100" t="s">
        <v>241</v>
      </c>
      <c r="B100" t="s">
        <v>569</v>
      </c>
      <c r="C100" t="s">
        <v>56</v>
      </c>
      <c r="D100" t="s">
        <v>27</v>
      </c>
      <c r="E100" t="s">
        <v>16</v>
      </c>
      <c r="F100" t="s">
        <v>28</v>
      </c>
      <c r="G100" t="s">
        <v>24</v>
      </c>
      <c r="H100">
        <v>28</v>
      </c>
      <c r="I100" t="str">
        <f>IF(TBL[[#This Row],[Age]]&gt;=60, "Old", IF(TBL[[#This Row],[Age]]&gt;=30, "Adult", "Young"))</f>
        <v>Young</v>
      </c>
      <c r="J100" s="1">
        <v>43977</v>
      </c>
      <c r="K100">
        <f t="shared" si="1"/>
        <v>2020</v>
      </c>
      <c r="L100">
        <f>MONTH(TBL[[#This Row],[Hire Date]])</f>
        <v>5</v>
      </c>
      <c r="M100" s="7">
        <v>67925</v>
      </c>
      <c r="N100" s="8">
        <v>0.08</v>
      </c>
      <c r="O100" t="s">
        <v>33</v>
      </c>
      <c r="P100" t="s">
        <v>74</v>
      </c>
      <c r="Q100" s="1" t="s">
        <v>21</v>
      </c>
    </row>
    <row r="101" spans="1:17" x14ac:dyDescent="0.35">
      <c r="A101" t="s">
        <v>570</v>
      </c>
      <c r="B101" t="s">
        <v>571</v>
      </c>
      <c r="C101" t="s">
        <v>14</v>
      </c>
      <c r="D101" t="s">
        <v>50</v>
      </c>
      <c r="E101" t="s">
        <v>36</v>
      </c>
      <c r="F101" t="s">
        <v>17</v>
      </c>
      <c r="G101" t="s">
        <v>18</v>
      </c>
      <c r="H101">
        <v>31</v>
      </c>
      <c r="I101" t="str">
        <f>IF(TBL[[#This Row],[Age]]&gt;=60, "Old", IF(TBL[[#This Row],[Age]]&gt;=30, "Adult", "Young"))</f>
        <v>Adult</v>
      </c>
      <c r="J101" s="1">
        <v>44063</v>
      </c>
      <c r="K101">
        <f t="shared" si="1"/>
        <v>2020</v>
      </c>
      <c r="L101">
        <f>MONTH(TBL[[#This Row],[Hire Date]])</f>
        <v>8</v>
      </c>
      <c r="M101" s="7">
        <v>219693</v>
      </c>
      <c r="N101" s="8">
        <v>0.3</v>
      </c>
      <c r="O101" t="s">
        <v>19</v>
      </c>
      <c r="P101" t="s">
        <v>25</v>
      </c>
      <c r="Q101" s="1" t="s">
        <v>21</v>
      </c>
    </row>
    <row r="102" spans="1:17" x14ac:dyDescent="0.35">
      <c r="A102" t="s">
        <v>572</v>
      </c>
      <c r="B102" t="s">
        <v>573</v>
      </c>
      <c r="C102" t="s">
        <v>58</v>
      </c>
      <c r="D102" t="s">
        <v>31</v>
      </c>
      <c r="E102" t="s">
        <v>16</v>
      </c>
      <c r="F102" t="s">
        <v>17</v>
      </c>
      <c r="G102" t="s">
        <v>18</v>
      </c>
      <c r="H102">
        <v>45</v>
      </c>
      <c r="I102" t="str">
        <f>IF(TBL[[#This Row],[Age]]&gt;=60, "Old", IF(TBL[[#This Row],[Age]]&gt;=30, "Adult", "Young"))</f>
        <v>Adult</v>
      </c>
      <c r="J102" s="1">
        <v>41386</v>
      </c>
      <c r="K102">
        <f t="shared" si="1"/>
        <v>2013</v>
      </c>
      <c r="L102">
        <f>MONTH(TBL[[#This Row],[Hire Date]])</f>
        <v>4</v>
      </c>
      <c r="M102" s="7">
        <v>61773</v>
      </c>
      <c r="N102" s="8">
        <v>0</v>
      </c>
      <c r="O102" t="s">
        <v>19</v>
      </c>
      <c r="P102" t="s">
        <v>63</v>
      </c>
      <c r="Q102" s="1" t="s">
        <v>21</v>
      </c>
    </row>
    <row r="103" spans="1:17" x14ac:dyDescent="0.35">
      <c r="A103" t="s">
        <v>400</v>
      </c>
      <c r="B103" t="s">
        <v>574</v>
      </c>
      <c r="C103" t="s">
        <v>56</v>
      </c>
      <c r="D103" t="s">
        <v>27</v>
      </c>
      <c r="E103" t="s">
        <v>44</v>
      </c>
      <c r="F103" t="s">
        <v>17</v>
      </c>
      <c r="G103" t="s">
        <v>24</v>
      </c>
      <c r="H103">
        <v>48</v>
      </c>
      <c r="I103" t="str">
        <f>IF(TBL[[#This Row],[Age]]&gt;=60, "Old", IF(TBL[[#This Row],[Age]]&gt;=30, "Adult", "Young"))</f>
        <v>Adult</v>
      </c>
      <c r="J103" s="1">
        <v>39091</v>
      </c>
      <c r="K103">
        <f t="shared" si="1"/>
        <v>2007</v>
      </c>
      <c r="L103">
        <f>MONTH(TBL[[#This Row],[Hire Date]])</f>
        <v>1</v>
      </c>
      <c r="M103" s="7">
        <v>74546</v>
      </c>
      <c r="N103" s="8">
        <v>0.09</v>
      </c>
      <c r="O103" t="s">
        <v>19</v>
      </c>
      <c r="P103" t="s">
        <v>63</v>
      </c>
      <c r="Q103" s="1" t="s">
        <v>21</v>
      </c>
    </row>
    <row r="104" spans="1:17" x14ac:dyDescent="0.35">
      <c r="A104" t="s">
        <v>291</v>
      </c>
      <c r="B104" t="s">
        <v>575</v>
      </c>
      <c r="C104" t="s">
        <v>86</v>
      </c>
      <c r="D104" t="s">
        <v>31</v>
      </c>
      <c r="E104" t="s">
        <v>44</v>
      </c>
      <c r="F104" t="s">
        <v>28</v>
      </c>
      <c r="G104" t="s">
        <v>47</v>
      </c>
      <c r="H104">
        <v>56</v>
      </c>
      <c r="I104" t="str">
        <f>IF(TBL[[#This Row],[Age]]&gt;=60, "Old", IF(TBL[[#This Row],[Age]]&gt;=30, "Adult", "Young"))</f>
        <v>Adult</v>
      </c>
      <c r="J104" s="1">
        <v>42031</v>
      </c>
      <c r="K104">
        <f t="shared" si="1"/>
        <v>2015</v>
      </c>
      <c r="L104">
        <f>MONTH(TBL[[#This Row],[Hire Date]])</f>
        <v>1</v>
      </c>
      <c r="M104" s="7">
        <v>62575</v>
      </c>
      <c r="N104" s="8">
        <v>0</v>
      </c>
      <c r="O104" t="s">
        <v>19</v>
      </c>
      <c r="P104" t="s">
        <v>45</v>
      </c>
      <c r="Q104" s="1" t="s">
        <v>21</v>
      </c>
    </row>
    <row r="105" spans="1:17" x14ac:dyDescent="0.35">
      <c r="A105" t="s">
        <v>576</v>
      </c>
      <c r="B105" t="s">
        <v>577</v>
      </c>
      <c r="C105" t="s">
        <v>40</v>
      </c>
      <c r="D105" t="s">
        <v>23</v>
      </c>
      <c r="E105" t="s">
        <v>32</v>
      </c>
      <c r="F105" t="s">
        <v>17</v>
      </c>
      <c r="G105" t="s">
        <v>24</v>
      </c>
      <c r="H105">
        <v>27</v>
      </c>
      <c r="I105" t="str">
        <f>IF(TBL[[#This Row],[Age]]&gt;=60, "Old", IF(TBL[[#This Row],[Age]]&gt;=30, "Adult", "Young"))</f>
        <v>Young</v>
      </c>
      <c r="J105" s="1">
        <v>44250</v>
      </c>
      <c r="K105">
        <f t="shared" si="1"/>
        <v>2021</v>
      </c>
      <c r="L105">
        <f>MONTH(TBL[[#This Row],[Hire Date]])</f>
        <v>2</v>
      </c>
      <c r="M105" s="7">
        <v>199041</v>
      </c>
      <c r="N105" s="8">
        <v>0.16</v>
      </c>
      <c r="O105" t="s">
        <v>33</v>
      </c>
      <c r="P105" t="s">
        <v>60</v>
      </c>
      <c r="Q105" s="1" t="s">
        <v>21</v>
      </c>
    </row>
    <row r="106" spans="1:17" x14ac:dyDescent="0.35">
      <c r="A106" t="s">
        <v>578</v>
      </c>
      <c r="B106" t="s">
        <v>579</v>
      </c>
      <c r="C106" t="s">
        <v>64</v>
      </c>
      <c r="D106" t="s">
        <v>65</v>
      </c>
      <c r="E106" t="s">
        <v>44</v>
      </c>
      <c r="F106" t="s">
        <v>28</v>
      </c>
      <c r="G106" t="s">
        <v>18</v>
      </c>
      <c r="H106">
        <v>55</v>
      </c>
      <c r="I106" t="str">
        <f>IF(TBL[[#This Row],[Age]]&gt;=60, "Old", IF(TBL[[#This Row],[Age]]&gt;=30, "Adult", "Young"))</f>
        <v>Adult</v>
      </c>
      <c r="J106" s="1">
        <v>39177</v>
      </c>
      <c r="K106">
        <f t="shared" si="1"/>
        <v>2007</v>
      </c>
      <c r="L106">
        <f>MONTH(TBL[[#This Row],[Hire Date]])</f>
        <v>4</v>
      </c>
      <c r="M106" s="7">
        <v>52310</v>
      </c>
      <c r="N106" s="8">
        <v>0</v>
      </c>
      <c r="O106" t="s">
        <v>19</v>
      </c>
      <c r="P106" t="s">
        <v>45</v>
      </c>
      <c r="Q106" s="1">
        <v>43385</v>
      </c>
    </row>
    <row r="107" spans="1:17" x14ac:dyDescent="0.35">
      <c r="A107" t="s">
        <v>580</v>
      </c>
      <c r="B107" t="s">
        <v>581</v>
      </c>
      <c r="C107" t="s">
        <v>61</v>
      </c>
      <c r="D107" t="s">
        <v>15</v>
      </c>
      <c r="E107" t="s">
        <v>44</v>
      </c>
      <c r="F107" t="s">
        <v>28</v>
      </c>
      <c r="G107" t="s">
        <v>47</v>
      </c>
      <c r="H107">
        <v>64</v>
      </c>
      <c r="I107" t="str">
        <f>IF(TBL[[#This Row],[Age]]&gt;=60, "Old", IF(TBL[[#This Row],[Age]]&gt;=30, "Adult", "Young"))</f>
        <v>Old</v>
      </c>
      <c r="J107" s="1">
        <v>41454</v>
      </c>
      <c r="K107">
        <f t="shared" si="1"/>
        <v>2013</v>
      </c>
      <c r="L107">
        <f>MONTH(TBL[[#This Row],[Hire Date]])</f>
        <v>6</v>
      </c>
      <c r="M107" s="7">
        <v>159571</v>
      </c>
      <c r="N107" s="8">
        <v>0.1</v>
      </c>
      <c r="O107" t="s">
        <v>19</v>
      </c>
      <c r="P107" t="s">
        <v>29</v>
      </c>
      <c r="Q107" s="1" t="s">
        <v>21</v>
      </c>
    </row>
    <row r="108" spans="1:17" x14ac:dyDescent="0.35">
      <c r="A108" t="s">
        <v>582</v>
      </c>
      <c r="B108" t="s">
        <v>583</v>
      </c>
      <c r="C108" t="s">
        <v>129</v>
      </c>
      <c r="D108" t="s">
        <v>31</v>
      </c>
      <c r="E108" t="s">
        <v>16</v>
      </c>
      <c r="F108" t="s">
        <v>17</v>
      </c>
      <c r="G108" t="s">
        <v>51</v>
      </c>
      <c r="H108">
        <v>50</v>
      </c>
      <c r="I108" t="str">
        <f>IF(TBL[[#This Row],[Age]]&gt;=60, "Old", IF(TBL[[#This Row],[Age]]&gt;=30, "Adult", "Young"))</f>
        <v>Adult</v>
      </c>
      <c r="J108" s="1">
        <v>35726</v>
      </c>
      <c r="K108">
        <f t="shared" si="1"/>
        <v>1997</v>
      </c>
      <c r="L108">
        <f>MONTH(TBL[[#This Row],[Hire Date]])</f>
        <v>10</v>
      </c>
      <c r="M108" s="7">
        <v>91763</v>
      </c>
      <c r="N108" s="8">
        <v>0</v>
      </c>
      <c r="O108" t="s">
        <v>19</v>
      </c>
      <c r="P108" t="s">
        <v>25</v>
      </c>
      <c r="Q108" s="1" t="s">
        <v>21</v>
      </c>
    </row>
    <row r="109" spans="1:17" x14ac:dyDescent="0.35">
      <c r="A109" t="s">
        <v>292</v>
      </c>
      <c r="B109" t="s">
        <v>584</v>
      </c>
      <c r="C109" t="s">
        <v>86</v>
      </c>
      <c r="D109" t="s">
        <v>31</v>
      </c>
      <c r="E109" t="s">
        <v>32</v>
      </c>
      <c r="F109" t="s">
        <v>17</v>
      </c>
      <c r="G109" t="s">
        <v>18</v>
      </c>
      <c r="H109">
        <v>51</v>
      </c>
      <c r="I109" t="str">
        <f>IF(TBL[[#This Row],[Age]]&gt;=60, "Old", IF(TBL[[#This Row],[Age]]&gt;=30, "Adult", "Young"))</f>
        <v>Adult</v>
      </c>
      <c r="J109" s="1">
        <v>35055</v>
      </c>
      <c r="K109">
        <f t="shared" si="1"/>
        <v>1995</v>
      </c>
      <c r="L109">
        <f>MONTH(TBL[[#This Row],[Hire Date]])</f>
        <v>12</v>
      </c>
      <c r="M109" s="7">
        <v>96475</v>
      </c>
      <c r="N109" s="8">
        <v>0</v>
      </c>
      <c r="O109" t="s">
        <v>19</v>
      </c>
      <c r="P109" t="s">
        <v>25</v>
      </c>
      <c r="Q109" s="1" t="s">
        <v>21</v>
      </c>
    </row>
    <row r="110" spans="1:17" x14ac:dyDescent="0.35">
      <c r="A110" t="s">
        <v>585</v>
      </c>
      <c r="B110" t="s">
        <v>586</v>
      </c>
      <c r="C110" t="s">
        <v>84</v>
      </c>
      <c r="D110" t="s">
        <v>31</v>
      </c>
      <c r="E110" t="s">
        <v>36</v>
      </c>
      <c r="F110" t="s">
        <v>28</v>
      </c>
      <c r="G110" t="s">
        <v>18</v>
      </c>
      <c r="H110">
        <v>36</v>
      </c>
      <c r="I110" t="str">
        <f>IF(TBL[[#This Row],[Age]]&gt;=60, "Old", IF(TBL[[#This Row],[Age]]&gt;=30, "Adult", "Young"))</f>
        <v>Adult</v>
      </c>
      <c r="J110" s="1">
        <v>42706</v>
      </c>
      <c r="K110">
        <f t="shared" si="1"/>
        <v>2016</v>
      </c>
      <c r="L110">
        <f>MONTH(TBL[[#This Row],[Hire Date]])</f>
        <v>12</v>
      </c>
      <c r="M110" s="7">
        <v>113781</v>
      </c>
      <c r="N110" s="8">
        <v>0</v>
      </c>
      <c r="O110" t="s">
        <v>19</v>
      </c>
      <c r="P110" t="s">
        <v>29</v>
      </c>
      <c r="Q110" s="1" t="s">
        <v>21</v>
      </c>
    </row>
    <row r="111" spans="1:17" x14ac:dyDescent="0.35">
      <c r="A111" t="s">
        <v>155</v>
      </c>
      <c r="B111" t="s">
        <v>587</v>
      </c>
      <c r="C111" t="s">
        <v>40</v>
      </c>
      <c r="D111" t="s">
        <v>15</v>
      </c>
      <c r="E111" t="s">
        <v>16</v>
      </c>
      <c r="F111" t="s">
        <v>28</v>
      </c>
      <c r="G111" t="s">
        <v>24</v>
      </c>
      <c r="H111">
        <v>42</v>
      </c>
      <c r="I111" t="str">
        <f>IF(TBL[[#This Row],[Age]]&gt;=60, "Old", IF(TBL[[#This Row],[Age]]&gt;=30, "Adult", "Young"))</f>
        <v>Adult</v>
      </c>
      <c r="J111" s="1">
        <v>37636</v>
      </c>
      <c r="K111">
        <f t="shared" si="1"/>
        <v>2003</v>
      </c>
      <c r="L111">
        <f>MONTH(TBL[[#This Row],[Hire Date]])</f>
        <v>1</v>
      </c>
      <c r="M111" s="7">
        <v>166599</v>
      </c>
      <c r="N111" s="8">
        <v>0.26</v>
      </c>
      <c r="O111" t="s">
        <v>19</v>
      </c>
      <c r="P111" t="s">
        <v>63</v>
      </c>
      <c r="Q111" s="1" t="s">
        <v>21</v>
      </c>
    </row>
    <row r="112" spans="1:17" x14ac:dyDescent="0.35">
      <c r="A112" t="s">
        <v>228</v>
      </c>
      <c r="B112" t="s">
        <v>588</v>
      </c>
      <c r="C112" t="s">
        <v>49</v>
      </c>
      <c r="D112" t="s">
        <v>50</v>
      </c>
      <c r="E112" t="s">
        <v>32</v>
      </c>
      <c r="F112" t="s">
        <v>17</v>
      </c>
      <c r="G112" t="s">
        <v>24</v>
      </c>
      <c r="H112">
        <v>41</v>
      </c>
      <c r="I112" t="str">
        <f>IF(TBL[[#This Row],[Age]]&gt;=60, "Old", IF(TBL[[#This Row],[Age]]&gt;=30, "Adult", "Young"))</f>
        <v>Adult</v>
      </c>
      <c r="J112" s="1">
        <v>38398</v>
      </c>
      <c r="K112">
        <f t="shared" si="1"/>
        <v>2005</v>
      </c>
      <c r="L112">
        <f>MONTH(TBL[[#This Row],[Hire Date]])</f>
        <v>2</v>
      </c>
      <c r="M112" s="7">
        <v>95372</v>
      </c>
      <c r="N112" s="8">
        <v>0</v>
      </c>
      <c r="O112" t="s">
        <v>33</v>
      </c>
      <c r="P112" t="s">
        <v>74</v>
      </c>
      <c r="Q112" s="1" t="s">
        <v>21</v>
      </c>
    </row>
    <row r="113" spans="1:17" x14ac:dyDescent="0.35">
      <c r="A113" t="s">
        <v>589</v>
      </c>
      <c r="B113" t="s">
        <v>590</v>
      </c>
      <c r="C113" t="s">
        <v>40</v>
      </c>
      <c r="D113" t="s">
        <v>27</v>
      </c>
      <c r="E113" t="s">
        <v>16</v>
      </c>
      <c r="F113" t="s">
        <v>17</v>
      </c>
      <c r="G113" t="s">
        <v>24</v>
      </c>
      <c r="H113">
        <v>29</v>
      </c>
      <c r="I113" t="str">
        <f>IF(TBL[[#This Row],[Age]]&gt;=60, "Old", IF(TBL[[#This Row],[Age]]&gt;=30, "Adult", "Young"))</f>
        <v>Young</v>
      </c>
      <c r="J113" s="1">
        <v>44052</v>
      </c>
      <c r="K113">
        <f t="shared" si="1"/>
        <v>2020</v>
      </c>
      <c r="L113">
        <f>MONTH(TBL[[#This Row],[Hire Date]])</f>
        <v>8</v>
      </c>
      <c r="M113" s="7">
        <v>161203</v>
      </c>
      <c r="N113" s="8">
        <v>0.15</v>
      </c>
      <c r="O113" t="s">
        <v>33</v>
      </c>
      <c r="P113" t="s">
        <v>34</v>
      </c>
      <c r="Q113" s="1" t="s">
        <v>21</v>
      </c>
    </row>
    <row r="114" spans="1:17" x14ac:dyDescent="0.35">
      <c r="A114" t="s">
        <v>591</v>
      </c>
      <c r="B114" t="s">
        <v>592</v>
      </c>
      <c r="C114" t="s">
        <v>98</v>
      </c>
      <c r="D114" t="s">
        <v>27</v>
      </c>
      <c r="E114" t="s">
        <v>36</v>
      </c>
      <c r="F114" t="s">
        <v>17</v>
      </c>
      <c r="G114" t="s">
        <v>18</v>
      </c>
      <c r="H114">
        <v>44</v>
      </c>
      <c r="I114" t="str">
        <f>IF(TBL[[#This Row],[Age]]&gt;=60, "Old", IF(TBL[[#This Row],[Age]]&gt;=30, "Adult", "Young"))</f>
        <v>Adult</v>
      </c>
      <c r="J114" s="1">
        <v>39064</v>
      </c>
      <c r="K114">
        <f t="shared" si="1"/>
        <v>2006</v>
      </c>
      <c r="L114">
        <f>MONTH(TBL[[#This Row],[Hire Date]])</f>
        <v>12</v>
      </c>
      <c r="M114" s="7">
        <v>74738</v>
      </c>
      <c r="N114" s="8">
        <v>0</v>
      </c>
      <c r="O114" t="s">
        <v>19</v>
      </c>
      <c r="P114" t="s">
        <v>45</v>
      </c>
      <c r="Q114" s="1" t="s">
        <v>21</v>
      </c>
    </row>
    <row r="115" spans="1:17" x14ac:dyDescent="0.35">
      <c r="A115" t="s">
        <v>236</v>
      </c>
      <c r="B115" t="s">
        <v>593</v>
      </c>
      <c r="C115" t="s">
        <v>40</v>
      </c>
      <c r="D115" t="s">
        <v>50</v>
      </c>
      <c r="E115" t="s">
        <v>16</v>
      </c>
      <c r="F115" t="s">
        <v>17</v>
      </c>
      <c r="G115" t="s">
        <v>24</v>
      </c>
      <c r="H115">
        <v>41</v>
      </c>
      <c r="I115" t="str">
        <f>IF(TBL[[#This Row],[Age]]&gt;=60, "Old", IF(TBL[[#This Row],[Age]]&gt;=30, "Adult", "Young"))</f>
        <v>Adult</v>
      </c>
      <c r="J115" s="1">
        <v>43322</v>
      </c>
      <c r="K115">
        <f t="shared" si="1"/>
        <v>2018</v>
      </c>
      <c r="L115">
        <f>MONTH(TBL[[#This Row],[Hire Date]])</f>
        <v>8</v>
      </c>
      <c r="M115" s="7">
        <v>171173</v>
      </c>
      <c r="N115" s="8">
        <v>0.21</v>
      </c>
      <c r="O115" t="s">
        <v>19</v>
      </c>
      <c r="P115" t="s">
        <v>29</v>
      </c>
      <c r="Q115" s="1" t="s">
        <v>21</v>
      </c>
    </row>
    <row r="116" spans="1:17" x14ac:dyDescent="0.35">
      <c r="A116" t="s">
        <v>594</v>
      </c>
      <c r="B116" t="s">
        <v>595</v>
      </c>
      <c r="C116" t="s">
        <v>14</v>
      </c>
      <c r="D116" t="s">
        <v>50</v>
      </c>
      <c r="E116" t="s">
        <v>32</v>
      </c>
      <c r="F116" t="s">
        <v>28</v>
      </c>
      <c r="G116" t="s">
        <v>51</v>
      </c>
      <c r="H116">
        <v>61</v>
      </c>
      <c r="I116" t="str">
        <f>IF(TBL[[#This Row],[Age]]&gt;=60, "Old", IF(TBL[[#This Row],[Age]]&gt;=30, "Adult", "Young"))</f>
        <v>Old</v>
      </c>
      <c r="J116" s="1">
        <v>43732</v>
      </c>
      <c r="K116">
        <f t="shared" si="1"/>
        <v>2019</v>
      </c>
      <c r="L116">
        <f>MONTH(TBL[[#This Row],[Hire Date]])</f>
        <v>9</v>
      </c>
      <c r="M116" s="7">
        <v>201464</v>
      </c>
      <c r="N116" s="8">
        <v>0.37</v>
      </c>
      <c r="O116" t="s">
        <v>19</v>
      </c>
      <c r="P116" t="s">
        <v>20</v>
      </c>
      <c r="Q116" s="1" t="s">
        <v>21</v>
      </c>
    </row>
    <row r="117" spans="1:17" x14ac:dyDescent="0.35">
      <c r="A117" t="s">
        <v>596</v>
      </c>
      <c r="B117" t="s">
        <v>597</v>
      </c>
      <c r="C117" t="s">
        <v>40</v>
      </c>
      <c r="D117" t="s">
        <v>23</v>
      </c>
      <c r="E117" t="s">
        <v>32</v>
      </c>
      <c r="F117" t="s">
        <v>28</v>
      </c>
      <c r="G117" t="s">
        <v>18</v>
      </c>
      <c r="H117">
        <v>50</v>
      </c>
      <c r="I117" t="str">
        <f>IF(TBL[[#This Row],[Age]]&gt;=60, "Old", IF(TBL[[#This Row],[Age]]&gt;=30, "Adult", "Young"))</f>
        <v>Adult</v>
      </c>
      <c r="J117" s="1">
        <v>35998</v>
      </c>
      <c r="K117">
        <f t="shared" si="1"/>
        <v>1998</v>
      </c>
      <c r="L117">
        <f>MONTH(TBL[[#This Row],[Hire Date]])</f>
        <v>7</v>
      </c>
      <c r="M117" s="7">
        <v>174895</v>
      </c>
      <c r="N117" s="8">
        <v>0.15</v>
      </c>
      <c r="O117" t="s">
        <v>19</v>
      </c>
      <c r="P117" t="s">
        <v>20</v>
      </c>
      <c r="Q117" s="1" t="s">
        <v>21</v>
      </c>
    </row>
    <row r="118" spans="1:17" x14ac:dyDescent="0.35">
      <c r="A118" t="s">
        <v>598</v>
      </c>
      <c r="B118" t="s">
        <v>599</v>
      </c>
      <c r="C118" t="s">
        <v>61</v>
      </c>
      <c r="D118" t="s">
        <v>27</v>
      </c>
      <c r="E118" t="s">
        <v>36</v>
      </c>
      <c r="F118" t="s">
        <v>17</v>
      </c>
      <c r="G118" t="s">
        <v>24</v>
      </c>
      <c r="H118">
        <v>49</v>
      </c>
      <c r="I118" t="str">
        <f>IF(TBL[[#This Row],[Age]]&gt;=60, "Old", IF(TBL[[#This Row],[Age]]&gt;=30, "Adult", "Young"))</f>
        <v>Adult</v>
      </c>
      <c r="J118" s="1">
        <v>38825</v>
      </c>
      <c r="K118">
        <f t="shared" si="1"/>
        <v>2006</v>
      </c>
      <c r="L118">
        <f>MONTH(TBL[[#This Row],[Hire Date]])</f>
        <v>4</v>
      </c>
      <c r="M118" s="7">
        <v>134486</v>
      </c>
      <c r="N118" s="8">
        <v>0.14000000000000001</v>
      </c>
      <c r="O118" t="s">
        <v>19</v>
      </c>
      <c r="P118" t="s">
        <v>25</v>
      </c>
      <c r="Q118" s="1" t="s">
        <v>21</v>
      </c>
    </row>
    <row r="119" spans="1:17" x14ac:dyDescent="0.35">
      <c r="A119" t="s">
        <v>349</v>
      </c>
      <c r="B119" t="s">
        <v>600</v>
      </c>
      <c r="C119" t="s">
        <v>42</v>
      </c>
      <c r="D119" t="s">
        <v>15</v>
      </c>
      <c r="E119" t="s">
        <v>36</v>
      </c>
      <c r="F119" t="s">
        <v>17</v>
      </c>
      <c r="G119" t="s">
        <v>51</v>
      </c>
      <c r="H119">
        <v>60</v>
      </c>
      <c r="I119" t="str">
        <f>IF(TBL[[#This Row],[Age]]&gt;=60, "Old", IF(TBL[[#This Row],[Age]]&gt;=30, "Adult", "Young"))</f>
        <v>Old</v>
      </c>
      <c r="J119" s="1">
        <v>39137</v>
      </c>
      <c r="K119">
        <f t="shared" si="1"/>
        <v>2007</v>
      </c>
      <c r="L119">
        <f>MONTH(TBL[[#This Row],[Hire Date]])</f>
        <v>2</v>
      </c>
      <c r="M119" s="7">
        <v>71699</v>
      </c>
      <c r="N119" s="8">
        <v>0</v>
      </c>
      <c r="O119" t="s">
        <v>52</v>
      </c>
      <c r="P119" t="s">
        <v>81</v>
      </c>
      <c r="Q119" s="1" t="s">
        <v>21</v>
      </c>
    </row>
    <row r="120" spans="1:17" x14ac:dyDescent="0.35">
      <c r="A120" t="s">
        <v>186</v>
      </c>
      <c r="B120" t="s">
        <v>601</v>
      </c>
      <c r="C120" t="s">
        <v>42</v>
      </c>
      <c r="D120" t="s">
        <v>43</v>
      </c>
      <c r="E120" t="s">
        <v>32</v>
      </c>
      <c r="F120" t="s">
        <v>17</v>
      </c>
      <c r="G120" t="s">
        <v>51</v>
      </c>
      <c r="H120">
        <v>42</v>
      </c>
      <c r="I120" t="str">
        <f>IF(TBL[[#This Row],[Age]]&gt;=60, "Old", IF(TBL[[#This Row],[Age]]&gt;=30, "Adult", "Young"))</f>
        <v>Adult</v>
      </c>
      <c r="J120" s="1">
        <v>44198</v>
      </c>
      <c r="K120">
        <f t="shared" si="1"/>
        <v>2021</v>
      </c>
      <c r="L120">
        <f>MONTH(TBL[[#This Row],[Hire Date]])</f>
        <v>1</v>
      </c>
      <c r="M120" s="7">
        <v>94430</v>
      </c>
      <c r="N120" s="8">
        <v>0</v>
      </c>
      <c r="O120" t="s">
        <v>19</v>
      </c>
      <c r="P120" t="s">
        <v>63</v>
      </c>
      <c r="Q120" s="1" t="s">
        <v>21</v>
      </c>
    </row>
    <row r="121" spans="1:17" x14ac:dyDescent="0.35">
      <c r="A121" t="s">
        <v>602</v>
      </c>
      <c r="B121" t="s">
        <v>603</v>
      </c>
      <c r="C121" t="s">
        <v>62</v>
      </c>
      <c r="D121" t="s">
        <v>15</v>
      </c>
      <c r="E121" t="s">
        <v>32</v>
      </c>
      <c r="F121" t="s">
        <v>28</v>
      </c>
      <c r="G121" t="s">
        <v>24</v>
      </c>
      <c r="H121">
        <v>39</v>
      </c>
      <c r="I121" t="str">
        <f>IF(TBL[[#This Row],[Age]]&gt;=60, "Old", IF(TBL[[#This Row],[Age]]&gt;=30, "Adult", "Young"))</f>
        <v>Adult</v>
      </c>
      <c r="J121" s="1">
        <v>40192</v>
      </c>
      <c r="K121">
        <f t="shared" si="1"/>
        <v>2010</v>
      </c>
      <c r="L121">
        <f>MONTH(TBL[[#This Row],[Hire Date]])</f>
        <v>1</v>
      </c>
      <c r="M121" s="7">
        <v>103504</v>
      </c>
      <c r="N121" s="8">
        <v>7.0000000000000007E-2</v>
      </c>
      <c r="O121" t="s">
        <v>33</v>
      </c>
      <c r="P121" t="s">
        <v>34</v>
      </c>
      <c r="Q121" s="1" t="s">
        <v>21</v>
      </c>
    </row>
    <row r="122" spans="1:17" x14ac:dyDescent="0.35">
      <c r="A122" t="s">
        <v>604</v>
      </c>
      <c r="B122" t="s">
        <v>605</v>
      </c>
      <c r="C122" t="s">
        <v>26</v>
      </c>
      <c r="D122" t="s">
        <v>27</v>
      </c>
      <c r="E122" t="s">
        <v>36</v>
      </c>
      <c r="F122" t="s">
        <v>17</v>
      </c>
      <c r="G122" t="s">
        <v>24</v>
      </c>
      <c r="H122">
        <v>55</v>
      </c>
      <c r="I122" t="str">
        <f>IF(TBL[[#This Row],[Age]]&gt;=60, "Old", IF(TBL[[#This Row],[Age]]&gt;=30, "Adult", "Young"))</f>
        <v>Adult</v>
      </c>
      <c r="J122" s="1">
        <v>38573</v>
      </c>
      <c r="K122">
        <f t="shared" si="1"/>
        <v>2005</v>
      </c>
      <c r="L122">
        <f>MONTH(TBL[[#This Row],[Hire Date]])</f>
        <v>8</v>
      </c>
      <c r="M122" s="7">
        <v>92771</v>
      </c>
      <c r="N122" s="8">
        <v>0</v>
      </c>
      <c r="O122" t="s">
        <v>19</v>
      </c>
      <c r="P122" t="s">
        <v>45</v>
      </c>
      <c r="Q122" s="1" t="s">
        <v>21</v>
      </c>
    </row>
    <row r="123" spans="1:17" x14ac:dyDescent="0.35">
      <c r="A123" t="s">
        <v>606</v>
      </c>
      <c r="B123" t="s">
        <v>607</v>
      </c>
      <c r="C123" t="s">
        <v>64</v>
      </c>
      <c r="D123" t="s">
        <v>15</v>
      </c>
      <c r="E123" t="s">
        <v>44</v>
      </c>
      <c r="F123" t="s">
        <v>17</v>
      </c>
      <c r="G123" t="s">
        <v>51</v>
      </c>
      <c r="H123">
        <v>39</v>
      </c>
      <c r="I123" t="str">
        <f>IF(TBL[[#This Row],[Age]]&gt;=60, "Old", IF(TBL[[#This Row],[Age]]&gt;=30, "Adult", "Young"))</f>
        <v>Adult</v>
      </c>
      <c r="J123" s="1">
        <v>38813</v>
      </c>
      <c r="K123">
        <f t="shared" si="1"/>
        <v>2006</v>
      </c>
      <c r="L123">
        <f>MONTH(TBL[[#This Row],[Hire Date]])</f>
        <v>4</v>
      </c>
      <c r="M123" s="7">
        <v>71531</v>
      </c>
      <c r="N123" s="8">
        <v>0</v>
      </c>
      <c r="O123" t="s">
        <v>19</v>
      </c>
      <c r="P123" t="s">
        <v>29</v>
      </c>
      <c r="Q123" s="1" t="s">
        <v>21</v>
      </c>
    </row>
    <row r="124" spans="1:17" x14ac:dyDescent="0.35">
      <c r="A124" t="s">
        <v>367</v>
      </c>
      <c r="B124" t="s">
        <v>608</v>
      </c>
      <c r="C124" t="s">
        <v>38</v>
      </c>
      <c r="D124" t="s">
        <v>27</v>
      </c>
      <c r="E124" t="s">
        <v>44</v>
      </c>
      <c r="F124" t="s">
        <v>28</v>
      </c>
      <c r="G124" t="s">
        <v>47</v>
      </c>
      <c r="H124">
        <v>28</v>
      </c>
      <c r="I124" t="str">
        <f>IF(TBL[[#This Row],[Age]]&gt;=60, "Old", IF(TBL[[#This Row],[Age]]&gt;=30, "Adult", "Young"))</f>
        <v>Young</v>
      </c>
      <c r="J124" s="1">
        <v>43530</v>
      </c>
      <c r="K124">
        <f t="shared" si="1"/>
        <v>2019</v>
      </c>
      <c r="L124">
        <f>MONTH(TBL[[#This Row],[Hire Date]])</f>
        <v>3</v>
      </c>
      <c r="M124" s="7">
        <v>90304</v>
      </c>
      <c r="N124" s="8">
        <v>0</v>
      </c>
      <c r="O124" t="s">
        <v>19</v>
      </c>
      <c r="P124" t="s">
        <v>20</v>
      </c>
      <c r="Q124" s="1" t="s">
        <v>21</v>
      </c>
    </row>
    <row r="125" spans="1:17" x14ac:dyDescent="0.35">
      <c r="A125" t="s">
        <v>609</v>
      </c>
      <c r="B125" t="s">
        <v>92</v>
      </c>
      <c r="C125" t="s">
        <v>62</v>
      </c>
      <c r="D125" t="s">
        <v>43</v>
      </c>
      <c r="E125" t="s">
        <v>36</v>
      </c>
      <c r="F125" t="s">
        <v>17</v>
      </c>
      <c r="G125" t="s">
        <v>18</v>
      </c>
      <c r="H125">
        <v>65</v>
      </c>
      <c r="I125" t="str">
        <f>IF(TBL[[#This Row],[Age]]&gt;=60, "Old", IF(TBL[[#This Row],[Age]]&gt;=30, "Adult", "Young"))</f>
        <v>Old</v>
      </c>
      <c r="J125" s="1">
        <v>40793</v>
      </c>
      <c r="K125">
        <f t="shared" si="1"/>
        <v>2011</v>
      </c>
      <c r="L125">
        <f>MONTH(TBL[[#This Row],[Hire Date]])</f>
        <v>9</v>
      </c>
      <c r="M125" s="7">
        <v>104903</v>
      </c>
      <c r="N125" s="8">
        <v>0.1</v>
      </c>
      <c r="O125" t="s">
        <v>19</v>
      </c>
      <c r="P125" t="s">
        <v>29</v>
      </c>
      <c r="Q125" s="1" t="s">
        <v>21</v>
      </c>
    </row>
    <row r="126" spans="1:17" x14ac:dyDescent="0.35">
      <c r="A126" t="s">
        <v>610</v>
      </c>
      <c r="B126" t="s">
        <v>611</v>
      </c>
      <c r="C126" t="s">
        <v>68</v>
      </c>
      <c r="D126" t="s">
        <v>15</v>
      </c>
      <c r="E126" t="s">
        <v>32</v>
      </c>
      <c r="F126" t="s">
        <v>17</v>
      </c>
      <c r="G126" t="s">
        <v>24</v>
      </c>
      <c r="H126">
        <v>52</v>
      </c>
      <c r="I126" t="str">
        <f>IF(TBL[[#This Row],[Age]]&gt;=60, "Old", IF(TBL[[#This Row],[Age]]&gt;=30, "Adult", "Young"))</f>
        <v>Adult</v>
      </c>
      <c r="J126" s="1">
        <v>43515</v>
      </c>
      <c r="K126">
        <f t="shared" si="1"/>
        <v>2019</v>
      </c>
      <c r="L126">
        <f>MONTH(TBL[[#This Row],[Hire Date]])</f>
        <v>2</v>
      </c>
      <c r="M126" s="7">
        <v>55859</v>
      </c>
      <c r="N126" s="8">
        <v>0</v>
      </c>
      <c r="O126" t="s">
        <v>33</v>
      </c>
      <c r="P126" t="s">
        <v>60</v>
      </c>
      <c r="Q126" s="1" t="s">
        <v>21</v>
      </c>
    </row>
    <row r="127" spans="1:17" x14ac:dyDescent="0.35">
      <c r="A127" t="s">
        <v>253</v>
      </c>
      <c r="B127" t="s">
        <v>612</v>
      </c>
      <c r="C127" t="s">
        <v>69</v>
      </c>
      <c r="D127" t="s">
        <v>31</v>
      </c>
      <c r="E127" t="s">
        <v>32</v>
      </c>
      <c r="F127" t="s">
        <v>17</v>
      </c>
      <c r="G127" t="s">
        <v>51</v>
      </c>
      <c r="H127">
        <v>62</v>
      </c>
      <c r="I127" t="str">
        <f>IF(TBL[[#This Row],[Age]]&gt;=60, "Old", IF(TBL[[#This Row],[Age]]&gt;=30, "Adult", "Young"))</f>
        <v>Old</v>
      </c>
      <c r="J127" s="1">
        <v>39002</v>
      </c>
      <c r="K127">
        <f t="shared" si="1"/>
        <v>2006</v>
      </c>
      <c r="L127">
        <f>MONTH(TBL[[#This Row],[Hire Date]])</f>
        <v>10</v>
      </c>
      <c r="M127" s="7">
        <v>79785</v>
      </c>
      <c r="N127" s="8">
        <v>0</v>
      </c>
      <c r="O127" t="s">
        <v>19</v>
      </c>
      <c r="P127" t="s">
        <v>25</v>
      </c>
      <c r="Q127" s="1" t="s">
        <v>21</v>
      </c>
    </row>
    <row r="128" spans="1:17" x14ac:dyDescent="0.35">
      <c r="A128" t="s">
        <v>613</v>
      </c>
      <c r="B128" t="s">
        <v>614</v>
      </c>
      <c r="C128" t="s">
        <v>42</v>
      </c>
      <c r="D128" t="s">
        <v>43</v>
      </c>
      <c r="E128" t="s">
        <v>32</v>
      </c>
      <c r="F128" t="s">
        <v>17</v>
      </c>
      <c r="G128" t="s">
        <v>24</v>
      </c>
      <c r="H128">
        <v>39</v>
      </c>
      <c r="I128" t="str">
        <f>IF(TBL[[#This Row],[Age]]&gt;=60, "Old", IF(TBL[[#This Row],[Age]]&gt;=30, "Adult", "Young"))</f>
        <v>Adult</v>
      </c>
      <c r="J128" s="1">
        <v>39391</v>
      </c>
      <c r="K128">
        <f t="shared" si="1"/>
        <v>2007</v>
      </c>
      <c r="L128">
        <f>MONTH(TBL[[#This Row],[Hire Date]])</f>
        <v>11</v>
      </c>
      <c r="M128" s="7">
        <v>99017</v>
      </c>
      <c r="N128" s="8">
        <v>0</v>
      </c>
      <c r="O128" t="s">
        <v>33</v>
      </c>
      <c r="P128" t="s">
        <v>60</v>
      </c>
      <c r="Q128" s="1" t="s">
        <v>21</v>
      </c>
    </row>
    <row r="129" spans="1:17" x14ac:dyDescent="0.35">
      <c r="A129" t="s">
        <v>615</v>
      </c>
      <c r="B129" t="s">
        <v>616</v>
      </c>
      <c r="C129" t="s">
        <v>76</v>
      </c>
      <c r="D129" t="s">
        <v>27</v>
      </c>
      <c r="E129" t="s">
        <v>36</v>
      </c>
      <c r="F129" t="s">
        <v>17</v>
      </c>
      <c r="G129" t="s">
        <v>18</v>
      </c>
      <c r="H129">
        <v>63</v>
      </c>
      <c r="I129" t="str">
        <f>IF(TBL[[#This Row],[Age]]&gt;=60, "Old", IF(TBL[[#This Row],[Age]]&gt;=30, "Adult", "Young"))</f>
        <v>Old</v>
      </c>
      <c r="J129" s="1">
        <v>33695</v>
      </c>
      <c r="K129">
        <f t="shared" si="1"/>
        <v>1992</v>
      </c>
      <c r="L129">
        <f>MONTH(TBL[[#This Row],[Hire Date]])</f>
        <v>4</v>
      </c>
      <c r="M129" s="7">
        <v>53809</v>
      </c>
      <c r="N129" s="8">
        <v>0</v>
      </c>
      <c r="O129" t="s">
        <v>19</v>
      </c>
      <c r="P129" t="s">
        <v>39</v>
      </c>
      <c r="Q129" s="1" t="s">
        <v>21</v>
      </c>
    </row>
    <row r="130" spans="1:17" x14ac:dyDescent="0.35">
      <c r="A130" t="s">
        <v>617</v>
      </c>
      <c r="B130" t="s">
        <v>618</v>
      </c>
      <c r="C130" t="s">
        <v>129</v>
      </c>
      <c r="D130" t="s">
        <v>31</v>
      </c>
      <c r="E130" t="s">
        <v>44</v>
      </c>
      <c r="F130" t="s">
        <v>28</v>
      </c>
      <c r="G130" t="s">
        <v>24</v>
      </c>
      <c r="H130">
        <v>27</v>
      </c>
      <c r="I130" t="str">
        <f>IF(TBL[[#This Row],[Age]]&gt;=60, "Old", IF(TBL[[#This Row],[Age]]&gt;=30, "Adult", "Young"))</f>
        <v>Young</v>
      </c>
      <c r="J130" s="1">
        <v>43937</v>
      </c>
      <c r="K130">
        <f t="shared" ref="K130:K193" si="2">YEAR(--J130)</f>
        <v>2020</v>
      </c>
      <c r="L130">
        <f>MONTH(TBL[[#This Row],[Hire Date]])</f>
        <v>4</v>
      </c>
      <c r="M130" s="7">
        <v>71864</v>
      </c>
      <c r="N130" s="8">
        <v>0</v>
      </c>
      <c r="O130" t="s">
        <v>33</v>
      </c>
      <c r="P130" t="s">
        <v>34</v>
      </c>
      <c r="Q130" s="1" t="s">
        <v>21</v>
      </c>
    </row>
    <row r="131" spans="1:17" x14ac:dyDescent="0.35">
      <c r="A131" t="s">
        <v>619</v>
      </c>
      <c r="B131" t="s">
        <v>620</v>
      </c>
      <c r="C131" t="s">
        <v>14</v>
      </c>
      <c r="D131" t="s">
        <v>15</v>
      </c>
      <c r="E131" t="s">
        <v>32</v>
      </c>
      <c r="F131" t="s">
        <v>17</v>
      </c>
      <c r="G131" t="s">
        <v>24</v>
      </c>
      <c r="H131">
        <v>37</v>
      </c>
      <c r="I131" t="str">
        <f>IF(TBL[[#This Row],[Age]]&gt;=60, "Old", IF(TBL[[#This Row],[Age]]&gt;=30, "Adult", "Young"))</f>
        <v>Adult</v>
      </c>
      <c r="J131" s="1">
        <v>40883</v>
      </c>
      <c r="K131">
        <f t="shared" si="2"/>
        <v>2011</v>
      </c>
      <c r="L131">
        <f>MONTH(TBL[[#This Row],[Hire Date]])</f>
        <v>12</v>
      </c>
      <c r="M131" s="7">
        <v>225558</v>
      </c>
      <c r="N131" s="8">
        <v>0.33</v>
      </c>
      <c r="O131" t="s">
        <v>33</v>
      </c>
      <c r="P131" t="s">
        <v>74</v>
      </c>
      <c r="Q131" s="1" t="s">
        <v>21</v>
      </c>
    </row>
    <row r="132" spans="1:17" x14ac:dyDescent="0.35">
      <c r="A132" t="s">
        <v>104</v>
      </c>
      <c r="B132" t="s">
        <v>621</v>
      </c>
      <c r="C132" t="s">
        <v>61</v>
      </c>
      <c r="D132" t="s">
        <v>27</v>
      </c>
      <c r="E132" t="s">
        <v>36</v>
      </c>
      <c r="F132" t="s">
        <v>28</v>
      </c>
      <c r="G132" t="s">
        <v>18</v>
      </c>
      <c r="H132">
        <v>37</v>
      </c>
      <c r="I132" t="str">
        <f>IF(TBL[[#This Row],[Age]]&gt;=60, "Old", IF(TBL[[#This Row],[Age]]&gt;=30, "Adult", "Young"))</f>
        <v>Adult</v>
      </c>
      <c r="J132" s="1">
        <v>41695</v>
      </c>
      <c r="K132">
        <f t="shared" si="2"/>
        <v>2014</v>
      </c>
      <c r="L132">
        <f>MONTH(TBL[[#This Row],[Hire Date]])</f>
        <v>2</v>
      </c>
      <c r="M132" s="7">
        <v>128984</v>
      </c>
      <c r="N132" s="8">
        <v>0.12</v>
      </c>
      <c r="O132" t="s">
        <v>19</v>
      </c>
      <c r="P132" t="s">
        <v>45</v>
      </c>
      <c r="Q132" s="1">
        <v>44317</v>
      </c>
    </row>
    <row r="133" spans="1:17" x14ac:dyDescent="0.35">
      <c r="A133" t="s">
        <v>622</v>
      </c>
      <c r="B133" t="s">
        <v>623</v>
      </c>
      <c r="C133" t="s">
        <v>129</v>
      </c>
      <c r="D133" t="s">
        <v>31</v>
      </c>
      <c r="E133" t="s">
        <v>44</v>
      </c>
      <c r="F133" t="s">
        <v>28</v>
      </c>
      <c r="G133" t="s">
        <v>51</v>
      </c>
      <c r="H133">
        <v>46</v>
      </c>
      <c r="I133" t="str">
        <f>IF(TBL[[#This Row],[Age]]&gt;=60, "Old", IF(TBL[[#This Row],[Age]]&gt;=30, "Adult", "Young"))</f>
        <v>Adult</v>
      </c>
      <c r="J133" s="1">
        <v>36331</v>
      </c>
      <c r="K133">
        <f t="shared" si="2"/>
        <v>1999</v>
      </c>
      <c r="L133">
        <f>MONTH(TBL[[#This Row],[Hire Date]])</f>
        <v>6</v>
      </c>
      <c r="M133" s="7">
        <v>96997</v>
      </c>
      <c r="N133" s="8">
        <v>0</v>
      </c>
      <c r="O133" t="s">
        <v>52</v>
      </c>
      <c r="P133" t="s">
        <v>53</v>
      </c>
      <c r="Q133" s="1" t="s">
        <v>21</v>
      </c>
    </row>
    <row r="134" spans="1:17" x14ac:dyDescent="0.35">
      <c r="A134" t="s">
        <v>624</v>
      </c>
      <c r="B134" t="s">
        <v>625</v>
      </c>
      <c r="C134" t="s">
        <v>40</v>
      </c>
      <c r="D134" t="s">
        <v>23</v>
      </c>
      <c r="E134" t="s">
        <v>36</v>
      </c>
      <c r="F134" t="s">
        <v>17</v>
      </c>
      <c r="G134" t="s">
        <v>51</v>
      </c>
      <c r="H134">
        <v>54</v>
      </c>
      <c r="I134" t="str">
        <f>IF(TBL[[#This Row],[Age]]&gt;=60, "Old", IF(TBL[[#This Row],[Age]]&gt;=30, "Adult", "Young"))</f>
        <v>Adult</v>
      </c>
      <c r="J134" s="1">
        <v>43122</v>
      </c>
      <c r="K134">
        <f t="shared" si="2"/>
        <v>2018</v>
      </c>
      <c r="L134">
        <f>MONTH(TBL[[#This Row],[Hire Date]])</f>
        <v>1</v>
      </c>
      <c r="M134" s="7">
        <v>176294</v>
      </c>
      <c r="N134" s="8">
        <v>0.28000000000000003</v>
      </c>
      <c r="O134" t="s">
        <v>19</v>
      </c>
      <c r="P134" t="s">
        <v>25</v>
      </c>
      <c r="Q134" s="1" t="s">
        <v>21</v>
      </c>
    </row>
    <row r="135" spans="1:17" x14ac:dyDescent="0.35">
      <c r="A135" t="s">
        <v>626</v>
      </c>
      <c r="B135" t="s">
        <v>627</v>
      </c>
      <c r="C135" t="s">
        <v>68</v>
      </c>
      <c r="D135" t="s">
        <v>50</v>
      </c>
      <c r="E135" t="s">
        <v>16</v>
      </c>
      <c r="F135" t="s">
        <v>17</v>
      </c>
      <c r="G135" t="s">
        <v>24</v>
      </c>
      <c r="H135">
        <v>30</v>
      </c>
      <c r="I135" t="str">
        <f>IF(TBL[[#This Row],[Age]]&gt;=60, "Old", IF(TBL[[#This Row],[Age]]&gt;=30, "Adult", "Young"))</f>
        <v>Adult</v>
      </c>
      <c r="J135" s="1">
        <v>44241</v>
      </c>
      <c r="K135">
        <f t="shared" si="2"/>
        <v>2021</v>
      </c>
      <c r="L135">
        <f>MONTH(TBL[[#This Row],[Hire Date]])</f>
        <v>2</v>
      </c>
      <c r="M135" s="7">
        <v>48340</v>
      </c>
      <c r="N135" s="8">
        <v>0</v>
      </c>
      <c r="O135" t="s">
        <v>33</v>
      </c>
      <c r="P135" t="s">
        <v>60</v>
      </c>
      <c r="Q135" s="1" t="s">
        <v>21</v>
      </c>
    </row>
    <row r="136" spans="1:17" x14ac:dyDescent="0.35">
      <c r="A136" t="s">
        <v>628</v>
      </c>
      <c r="B136" t="s">
        <v>229</v>
      </c>
      <c r="C136" t="s">
        <v>14</v>
      </c>
      <c r="D136" t="s">
        <v>31</v>
      </c>
      <c r="E136" t="s">
        <v>32</v>
      </c>
      <c r="F136" t="s">
        <v>17</v>
      </c>
      <c r="G136" t="s">
        <v>51</v>
      </c>
      <c r="H136">
        <v>28</v>
      </c>
      <c r="I136" t="str">
        <f>IF(TBL[[#This Row],[Age]]&gt;=60, "Old", IF(TBL[[#This Row],[Age]]&gt;=30, "Adult", "Young"))</f>
        <v>Young</v>
      </c>
      <c r="J136" s="1">
        <v>42922</v>
      </c>
      <c r="K136">
        <f t="shared" si="2"/>
        <v>2017</v>
      </c>
      <c r="L136">
        <f>MONTH(TBL[[#This Row],[Hire Date]])</f>
        <v>7</v>
      </c>
      <c r="M136" s="7">
        <v>240488</v>
      </c>
      <c r="N136" s="8">
        <v>0.4</v>
      </c>
      <c r="O136" t="s">
        <v>52</v>
      </c>
      <c r="P136" t="s">
        <v>66</v>
      </c>
      <c r="Q136" s="1" t="s">
        <v>21</v>
      </c>
    </row>
    <row r="137" spans="1:17" x14ac:dyDescent="0.35">
      <c r="A137" t="s">
        <v>629</v>
      </c>
      <c r="B137" t="s">
        <v>630</v>
      </c>
      <c r="C137" t="s">
        <v>26</v>
      </c>
      <c r="D137" t="s">
        <v>27</v>
      </c>
      <c r="E137" t="s">
        <v>36</v>
      </c>
      <c r="F137" t="s">
        <v>28</v>
      </c>
      <c r="G137" t="s">
        <v>18</v>
      </c>
      <c r="H137">
        <v>40</v>
      </c>
      <c r="I137" t="str">
        <f>IF(TBL[[#This Row],[Age]]&gt;=60, "Old", IF(TBL[[#This Row],[Age]]&gt;=30, "Adult", "Young"))</f>
        <v>Adult</v>
      </c>
      <c r="J137" s="1">
        <v>40565</v>
      </c>
      <c r="K137">
        <f t="shared" si="2"/>
        <v>2011</v>
      </c>
      <c r="L137">
        <f>MONTH(TBL[[#This Row],[Hire Date]])</f>
        <v>1</v>
      </c>
      <c r="M137" s="7">
        <v>97339</v>
      </c>
      <c r="N137" s="8">
        <v>0</v>
      </c>
      <c r="O137" t="s">
        <v>19</v>
      </c>
      <c r="P137" t="s">
        <v>25</v>
      </c>
      <c r="Q137" s="1" t="s">
        <v>21</v>
      </c>
    </row>
    <row r="138" spans="1:17" x14ac:dyDescent="0.35">
      <c r="A138" t="s">
        <v>631</v>
      </c>
      <c r="B138" t="s">
        <v>632</v>
      </c>
      <c r="C138" t="s">
        <v>14</v>
      </c>
      <c r="D138" t="s">
        <v>23</v>
      </c>
      <c r="E138" t="s">
        <v>36</v>
      </c>
      <c r="F138" t="s">
        <v>17</v>
      </c>
      <c r="G138" t="s">
        <v>24</v>
      </c>
      <c r="H138">
        <v>49</v>
      </c>
      <c r="I138" t="str">
        <f>IF(TBL[[#This Row],[Age]]&gt;=60, "Old", IF(TBL[[#This Row],[Age]]&gt;=30, "Adult", "Young"))</f>
        <v>Adult</v>
      </c>
      <c r="J138" s="1">
        <v>37680</v>
      </c>
      <c r="K138">
        <f t="shared" si="2"/>
        <v>2003</v>
      </c>
      <c r="L138">
        <f>MONTH(TBL[[#This Row],[Hire Date]])</f>
        <v>2</v>
      </c>
      <c r="M138" s="7">
        <v>211291</v>
      </c>
      <c r="N138" s="8">
        <v>0.37</v>
      </c>
      <c r="O138" t="s">
        <v>33</v>
      </c>
      <c r="P138" t="s">
        <v>80</v>
      </c>
      <c r="Q138" s="1" t="s">
        <v>21</v>
      </c>
    </row>
    <row r="139" spans="1:17" x14ac:dyDescent="0.35">
      <c r="A139" t="s">
        <v>379</v>
      </c>
      <c r="B139" t="s">
        <v>633</v>
      </c>
      <c r="C139" t="s">
        <v>14</v>
      </c>
      <c r="D139" t="s">
        <v>50</v>
      </c>
      <c r="E139" t="s">
        <v>16</v>
      </c>
      <c r="F139" t="s">
        <v>28</v>
      </c>
      <c r="G139" t="s">
        <v>51</v>
      </c>
      <c r="H139">
        <v>39</v>
      </c>
      <c r="I139" t="str">
        <f>IF(TBL[[#This Row],[Age]]&gt;=60, "Old", IF(TBL[[#This Row],[Age]]&gt;=30, "Adult", "Young"))</f>
        <v>Adult</v>
      </c>
      <c r="J139" s="1">
        <v>40778</v>
      </c>
      <c r="K139">
        <f t="shared" si="2"/>
        <v>2011</v>
      </c>
      <c r="L139">
        <f>MONTH(TBL[[#This Row],[Hire Date]])</f>
        <v>8</v>
      </c>
      <c r="M139" s="7">
        <v>249506</v>
      </c>
      <c r="N139" s="8">
        <v>0.3</v>
      </c>
      <c r="O139" t="s">
        <v>52</v>
      </c>
      <c r="P139" t="s">
        <v>66</v>
      </c>
      <c r="Q139" s="1" t="s">
        <v>21</v>
      </c>
    </row>
    <row r="140" spans="1:17" x14ac:dyDescent="0.35">
      <c r="A140" t="s">
        <v>244</v>
      </c>
      <c r="B140" t="s">
        <v>634</v>
      </c>
      <c r="C140" t="s">
        <v>30</v>
      </c>
      <c r="D140" t="s">
        <v>31</v>
      </c>
      <c r="E140" t="s">
        <v>44</v>
      </c>
      <c r="F140" t="s">
        <v>28</v>
      </c>
      <c r="G140" t="s">
        <v>24</v>
      </c>
      <c r="H140">
        <v>61</v>
      </c>
      <c r="I140" t="str">
        <f>IF(TBL[[#This Row],[Age]]&gt;=60, "Old", IF(TBL[[#This Row],[Age]]&gt;=30, "Adult", "Young"))</f>
        <v>Old</v>
      </c>
      <c r="J140" s="1">
        <v>37582</v>
      </c>
      <c r="K140">
        <f t="shared" si="2"/>
        <v>2002</v>
      </c>
      <c r="L140">
        <f>MONTH(TBL[[#This Row],[Hire Date]])</f>
        <v>11</v>
      </c>
      <c r="M140" s="7">
        <v>80950</v>
      </c>
      <c r="N140" s="8">
        <v>0</v>
      </c>
      <c r="O140" t="s">
        <v>33</v>
      </c>
      <c r="P140" t="s">
        <v>80</v>
      </c>
      <c r="Q140" s="1" t="s">
        <v>21</v>
      </c>
    </row>
    <row r="141" spans="1:17" x14ac:dyDescent="0.35">
      <c r="A141" t="s">
        <v>635</v>
      </c>
      <c r="B141" t="s">
        <v>636</v>
      </c>
      <c r="C141" t="s">
        <v>59</v>
      </c>
      <c r="D141" t="s">
        <v>31</v>
      </c>
      <c r="E141" t="s">
        <v>16</v>
      </c>
      <c r="F141" t="s">
        <v>17</v>
      </c>
      <c r="G141" t="s">
        <v>24</v>
      </c>
      <c r="H141">
        <v>46</v>
      </c>
      <c r="I141" t="str">
        <f>IF(TBL[[#This Row],[Age]]&gt;=60, "Old", IF(TBL[[#This Row],[Age]]&gt;=30, "Adult", "Young"))</f>
        <v>Adult</v>
      </c>
      <c r="J141" s="1">
        <v>44206</v>
      </c>
      <c r="K141">
        <f t="shared" si="2"/>
        <v>2021</v>
      </c>
      <c r="L141">
        <f>MONTH(TBL[[#This Row],[Hire Date]])</f>
        <v>1</v>
      </c>
      <c r="M141" s="7">
        <v>86538</v>
      </c>
      <c r="N141" s="8">
        <v>0</v>
      </c>
      <c r="O141" t="s">
        <v>33</v>
      </c>
      <c r="P141" t="s">
        <v>34</v>
      </c>
      <c r="Q141" s="1" t="s">
        <v>21</v>
      </c>
    </row>
    <row r="142" spans="1:17" x14ac:dyDescent="0.35">
      <c r="A142" t="s">
        <v>637</v>
      </c>
      <c r="B142" t="s">
        <v>638</v>
      </c>
      <c r="C142" t="s">
        <v>42</v>
      </c>
      <c r="D142" t="s">
        <v>43</v>
      </c>
      <c r="E142" t="s">
        <v>44</v>
      </c>
      <c r="F142" t="s">
        <v>17</v>
      </c>
      <c r="G142" t="s">
        <v>18</v>
      </c>
      <c r="H142">
        <v>35</v>
      </c>
      <c r="I142" t="str">
        <f>IF(TBL[[#This Row],[Age]]&gt;=60, "Old", IF(TBL[[#This Row],[Age]]&gt;=30, "Adult", "Young"))</f>
        <v>Adult</v>
      </c>
      <c r="J142" s="1">
        <v>43715</v>
      </c>
      <c r="K142">
        <f t="shared" si="2"/>
        <v>2019</v>
      </c>
      <c r="L142">
        <f>MONTH(TBL[[#This Row],[Hire Date]])</f>
        <v>9</v>
      </c>
      <c r="M142" s="7">
        <v>70992</v>
      </c>
      <c r="N142" s="8">
        <v>0</v>
      </c>
      <c r="O142" t="s">
        <v>19</v>
      </c>
      <c r="P142" t="s">
        <v>25</v>
      </c>
      <c r="Q142" s="1" t="s">
        <v>21</v>
      </c>
    </row>
    <row r="143" spans="1:17" x14ac:dyDescent="0.35">
      <c r="A143" t="s">
        <v>639</v>
      </c>
      <c r="B143" t="s">
        <v>640</v>
      </c>
      <c r="C143" t="s">
        <v>14</v>
      </c>
      <c r="D143" t="s">
        <v>31</v>
      </c>
      <c r="E143" t="s">
        <v>32</v>
      </c>
      <c r="F143" t="s">
        <v>28</v>
      </c>
      <c r="G143" t="s">
        <v>18</v>
      </c>
      <c r="H143">
        <v>33</v>
      </c>
      <c r="I143" t="str">
        <f>IF(TBL[[#This Row],[Age]]&gt;=60, "Old", IF(TBL[[#This Row],[Age]]&gt;=30, "Adult", "Young"))</f>
        <v>Adult</v>
      </c>
      <c r="J143" s="1">
        <v>42173</v>
      </c>
      <c r="K143">
        <f t="shared" si="2"/>
        <v>2015</v>
      </c>
      <c r="L143">
        <f>MONTH(TBL[[#This Row],[Hire Date]])</f>
        <v>6</v>
      </c>
      <c r="M143" s="7">
        <v>205314</v>
      </c>
      <c r="N143" s="8">
        <v>0.3</v>
      </c>
      <c r="O143" t="s">
        <v>19</v>
      </c>
      <c r="P143" t="s">
        <v>29</v>
      </c>
      <c r="Q143" s="1" t="s">
        <v>21</v>
      </c>
    </row>
    <row r="144" spans="1:17" x14ac:dyDescent="0.35">
      <c r="A144" t="s">
        <v>641</v>
      </c>
      <c r="B144" t="s">
        <v>642</v>
      </c>
      <c r="C144" t="s">
        <v>14</v>
      </c>
      <c r="D144" t="s">
        <v>23</v>
      </c>
      <c r="E144" t="s">
        <v>32</v>
      </c>
      <c r="F144" t="s">
        <v>17</v>
      </c>
      <c r="G144" t="s">
        <v>24</v>
      </c>
      <c r="H144">
        <v>61</v>
      </c>
      <c r="I144" t="str">
        <f>IF(TBL[[#This Row],[Age]]&gt;=60, "Old", IF(TBL[[#This Row],[Age]]&gt;=30, "Adult", "Young"))</f>
        <v>Old</v>
      </c>
      <c r="J144" s="1">
        <v>42804</v>
      </c>
      <c r="K144">
        <f t="shared" si="2"/>
        <v>2017</v>
      </c>
      <c r="L144">
        <f>MONTH(TBL[[#This Row],[Hire Date]])</f>
        <v>3</v>
      </c>
      <c r="M144" s="7">
        <v>196951</v>
      </c>
      <c r="N144" s="8">
        <v>0.33</v>
      </c>
      <c r="O144" t="s">
        <v>33</v>
      </c>
      <c r="P144" t="s">
        <v>60</v>
      </c>
      <c r="Q144" s="1" t="s">
        <v>21</v>
      </c>
    </row>
    <row r="145" spans="1:17" x14ac:dyDescent="0.35">
      <c r="A145" t="s">
        <v>283</v>
      </c>
      <c r="B145" t="s">
        <v>643</v>
      </c>
      <c r="C145" t="s">
        <v>35</v>
      </c>
      <c r="D145" t="s">
        <v>27</v>
      </c>
      <c r="E145" t="s">
        <v>44</v>
      </c>
      <c r="F145" t="s">
        <v>28</v>
      </c>
      <c r="G145" t="s">
        <v>24</v>
      </c>
      <c r="H145">
        <v>45</v>
      </c>
      <c r="I145" t="str">
        <f>IF(TBL[[#This Row],[Age]]&gt;=60, "Old", IF(TBL[[#This Row],[Age]]&gt;=30, "Adult", "Young"))</f>
        <v>Adult</v>
      </c>
      <c r="J145" s="1">
        <v>38613</v>
      </c>
      <c r="K145">
        <f t="shared" si="2"/>
        <v>2005</v>
      </c>
      <c r="L145">
        <f>MONTH(TBL[[#This Row],[Hire Date]])</f>
        <v>9</v>
      </c>
      <c r="M145" s="7">
        <v>67686</v>
      </c>
      <c r="N145" s="8">
        <v>0</v>
      </c>
      <c r="O145" t="s">
        <v>33</v>
      </c>
      <c r="P145" t="s">
        <v>60</v>
      </c>
      <c r="Q145" s="1" t="s">
        <v>21</v>
      </c>
    </row>
    <row r="146" spans="1:17" x14ac:dyDescent="0.35">
      <c r="A146" t="s">
        <v>230</v>
      </c>
      <c r="B146" t="s">
        <v>644</v>
      </c>
      <c r="C146" t="s">
        <v>55</v>
      </c>
      <c r="D146" t="s">
        <v>27</v>
      </c>
      <c r="E146" t="s">
        <v>16</v>
      </c>
      <c r="F146" t="s">
        <v>28</v>
      </c>
      <c r="G146" t="s">
        <v>51</v>
      </c>
      <c r="H146">
        <v>51</v>
      </c>
      <c r="I146" t="str">
        <f>IF(TBL[[#This Row],[Age]]&gt;=60, "Old", IF(TBL[[#This Row],[Age]]&gt;=30, "Adult", "Young"))</f>
        <v>Adult</v>
      </c>
      <c r="J146" s="1">
        <v>39553</v>
      </c>
      <c r="K146">
        <f t="shared" si="2"/>
        <v>2008</v>
      </c>
      <c r="L146">
        <f>MONTH(TBL[[#This Row],[Hire Date]])</f>
        <v>4</v>
      </c>
      <c r="M146" s="7">
        <v>86431</v>
      </c>
      <c r="N146" s="8">
        <v>0</v>
      </c>
      <c r="O146" t="s">
        <v>19</v>
      </c>
      <c r="P146" t="s">
        <v>29</v>
      </c>
      <c r="Q146" s="1" t="s">
        <v>21</v>
      </c>
    </row>
    <row r="147" spans="1:17" x14ac:dyDescent="0.35">
      <c r="A147" t="s">
        <v>645</v>
      </c>
      <c r="B147" t="s">
        <v>646</v>
      </c>
      <c r="C147" t="s">
        <v>62</v>
      </c>
      <c r="D147" t="s">
        <v>23</v>
      </c>
      <c r="E147" t="s">
        <v>36</v>
      </c>
      <c r="F147" t="s">
        <v>28</v>
      </c>
      <c r="G147" t="s">
        <v>24</v>
      </c>
      <c r="H147">
        <v>55</v>
      </c>
      <c r="I147" t="str">
        <f>IF(TBL[[#This Row],[Age]]&gt;=60, "Old", IF(TBL[[#This Row],[Age]]&gt;=30, "Adult", "Young"))</f>
        <v>Adult</v>
      </c>
      <c r="J147" s="1">
        <v>35019</v>
      </c>
      <c r="K147">
        <f t="shared" si="2"/>
        <v>1995</v>
      </c>
      <c r="L147">
        <f>MONTH(TBL[[#This Row],[Hire Date]])</f>
        <v>11</v>
      </c>
      <c r="M147" s="7">
        <v>125936</v>
      </c>
      <c r="N147" s="8">
        <v>0.08</v>
      </c>
      <c r="O147" t="s">
        <v>33</v>
      </c>
      <c r="P147" t="s">
        <v>80</v>
      </c>
      <c r="Q147" s="1" t="s">
        <v>21</v>
      </c>
    </row>
    <row r="148" spans="1:17" x14ac:dyDescent="0.35">
      <c r="A148" t="s">
        <v>647</v>
      </c>
      <c r="B148" t="s">
        <v>648</v>
      </c>
      <c r="C148" t="s">
        <v>61</v>
      </c>
      <c r="D148" t="s">
        <v>50</v>
      </c>
      <c r="E148" t="s">
        <v>32</v>
      </c>
      <c r="F148" t="s">
        <v>17</v>
      </c>
      <c r="G148" t="s">
        <v>18</v>
      </c>
      <c r="H148">
        <v>46</v>
      </c>
      <c r="I148" t="str">
        <f>IF(TBL[[#This Row],[Age]]&gt;=60, "Old", IF(TBL[[#This Row],[Age]]&gt;=30, "Adult", "Young"))</f>
        <v>Adult</v>
      </c>
      <c r="J148" s="1">
        <v>41473</v>
      </c>
      <c r="K148">
        <f t="shared" si="2"/>
        <v>2013</v>
      </c>
      <c r="L148">
        <f>MONTH(TBL[[#This Row],[Hire Date]])</f>
        <v>7</v>
      </c>
      <c r="M148" s="7">
        <v>149712</v>
      </c>
      <c r="N148" s="8">
        <v>0.14000000000000001</v>
      </c>
      <c r="O148" t="s">
        <v>19</v>
      </c>
      <c r="P148" t="s">
        <v>29</v>
      </c>
      <c r="Q148" s="1" t="s">
        <v>21</v>
      </c>
    </row>
    <row r="149" spans="1:17" x14ac:dyDescent="0.35">
      <c r="A149" t="s">
        <v>146</v>
      </c>
      <c r="B149" t="s">
        <v>649</v>
      </c>
      <c r="C149" t="s">
        <v>129</v>
      </c>
      <c r="D149" t="s">
        <v>31</v>
      </c>
      <c r="E149" t="s">
        <v>44</v>
      </c>
      <c r="F149" t="s">
        <v>28</v>
      </c>
      <c r="G149" t="s">
        <v>18</v>
      </c>
      <c r="H149">
        <v>30</v>
      </c>
      <c r="I149" t="str">
        <f>IF(TBL[[#This Row],[Age]]&gt;=60, "Old", IF(TBL[[#This Row],[Age]]&gt;=30, "Adult", "Young"))</f>
        <v>Adult</v>
      </c>
      <c r="J149" s="1">
        <v>44471</v>
      </c>
      <c r="K149">
        <f t="shared" si="2"/>
        <v>2021</v>
      </c>
      <c r="L149">
        <f>MONTH(TBL[[#This Row],[Hire Date]])</f>
        <v>10</v>
      </c>
      <c r="M149" s="7">
        <v>88758</v>
      </c>
      <c r="N149" s="8">
        <v>0</v>
      </c>
      <c r="O149" t="s">
        <v>19</v>
      </c>
      <c r="P149" t="s">
        <v>63</v>
      </c>
      <c r="Q149" s="1" t="s">
        <v>21</v>
      </c>
    </row>
    <row r="150" spans="1:17" x14ac:dyDescent="0.35">
      <c r="A150" t="s">
        <v>391</v>
      </c>
      <c r="B150" t="s">
        <v>650</v>
      </c>
      <c r="C150" t="s">
        <v>88</v>
      </c>
      <c r="D150" t="s">
        <v>27</v>
      </c>
      <c r="E150" t="s">
        <v>16</v>
      </c>
      <c r="F150" t="s">
        <v>28</v>
      </c>
      <c r="G150" t="s">
        <v>24</v>
      </c>
      <c r="H150">
        <v>54</v>
      </c>
      <c r="I150" t="str">
        <f>IF(TBL[[#This Row],[Age]]&gt;=60, "Old", IF(TBL[[#This Row],[Age]]&gt;=30, "Adult", "Young"))</f>
        <v>Adult</v>
      </c>
      <c r="J150" s="1">
        <v>41468</v>
      </c>
      <c r="K150">
        <f t="shared" si="2"/>
        <v>2013</v>
      </c>
      <c r="L150">
        <f>MONTH(TBL[[#This Row],[Hire Date]])</f>
        <v>7</v>
      </c>
      <c r="M150" s="7">
        <v>83639</v>
      </c>
      <c r="N150" s="8">
        <v>0</v>
      </c>
      <c r="O150" t="s">
        <v>33</v>
      </c>
      <c r="P150" t="s">
        <v>60</v>
      </c>
      <c r="Q150" s="1" t="s">
        <v>21</v>
      </c>
    </row>
    <row r="151" spans="1:17" x14ac:dyDescent="0.35">
      <c r="A151" t="s">
        <v>651</v>
      </c>
      <c r="B151" t="s">
        <v>652</v>
      </c>
      <c r="C151" t="s">
        <v>71</v>
      </c>
      <c r="D151" t="s">
        <v>27</v>
      </c>
      <c r="E151" t="s">
        <v>16</v>
      </c>
      <c r="F151" t="s">
        <v>17</v>
      </c>
      <c r="G151" t="s">
        <v>18</v>
      </c>
      <c r="H151">
        <v>54</v>
      </c>
      <c r="I151" t="str">
        <f>IF(TBL[[#This Row],[Age]]&gt;=60, "Old", IF(TBL[[#This Row],[Age]]&gt;=30, "Adult", "Young"))</f>
        <v>Adult</v>
      </c>
      <c r="J151" s="1">
        <v>35933</v>
      </c>
      <c r="K151">
        <f t="shared" si="2"/>
        <v>1998</v>
      </c>
      <c r="L151">
        <f>MONTH(TBL[[#This Row],[Hire Date]])</f>
        <v>5</v>
      </c>
      <c r="M151" s="7">
        <v>68268</v>
      </c>
      <c r="N151" s="8">
        <v>0</v>
      </c>
      <c r="O151" t="s">
        <v>19</v>
      </c>
      <c r="P151" t="s">
        <v>39</v>
      </c>
      <c r="Q151" s="1" t="s">
        <v>21</v>
      </c>
    </row>
    <row r="152" spans="1:17" x14ac:dyDescent="0.35">
      <c r="A152" t="s">
        <v>312</v>
      </c>
      <c r="B152" t="s">
        <v>653</v>
      </c>
      <c r="C152" t="s">
        <v>129</v>
      </c>
      <c r="D152" t="s">
        <v>31</v>
      </c>
      <c r="E152" t="s">
        <v>36</v>
      </c>
      <c r="F152" t="s">
        <v>28</v>
      </c>
      <c r="G152" t="s">
        <v>51</v>
      </c>
      <c r="H152">
        <v>45</v>
      </c>
      <c r="I152" t="str">
        <f>IF(TBL[[#This Row],[Age]]&gt;=60, "Old", IF(TBL[[#This Row],[Age]]&gt;=30, "Adult", "Young"))</f>
        <v>Adult</v>
      </c>
      <c r="J152" s="1">
        <v>37313</v>
      </c>
      <c r="K152">
        <f t="shared" si="2"/>
        <v>2002</v>
      </c>
      <c r="L152">
        <f>MONTH(TBL[[#This Row],[Hire Date]])</f>
        <v>2</v>
      </c>
      <c r="M152" s="7">
        <v>75819</v>
      </c>
      <c r="N152" s="8">
        <v>0</v>
      </c>
      <c r="O152" t="s">
        <v>52</v>
      </c>
      <c r="P152" t="s">
        <v>53</v>
      </c>
      <c r="Q152" s="1" t="s">
        <v>21</v>
      </c>
    </row>
    <row r="153" spans="1:17" x14ac:dyDescent="0.35">
      <c r="A153" t="s">
        <v>654</v>
      </c>
      <c r="B153" t="s">
        <v>655</v>
      </c>
      <c r="C153" t="s">
        <v>42</v>
      </c>
      <c r="D153" t="s">
        <v>50</v>
      </c>
      <c r="E153" t="s">
        <v>44</v>
      </c>
      <c r="F153" t="s">
        <v>17</v>
      </c>
      <c r="G153" t="s">
        <v>18</v>
      </c>
      <c r="H153">
        <v>49</v>
      </c>
      <c r="I153" t="str">
        <f>IF(TBL[[#This Row],[Age]]&gt;=60, "Old", IF(TBL[[#This Row],[Age]]&gt;=30, "Adult", "Young"))</f>
        <v>Adult</v>
      </c>
      <c r="J153" s="1">
        <v>35200</v>
      </c>
      <c r="K153">
        <f t="shared" si="2"/>
        <v>1996</v>
      </c>
      <c r="L153">
        <f>MONTH(TBL[[#This Row],[Hire Date]])</f>
        <v>5</v>
      </c>
      <c r="M153" s="7">
        <v>86658</v>
      </c>
      <c r="N153" s="8">
        <v>0</v>
      </c>
      <c r="O153" t="s">
        <v>19</v>
      </c>
      <c r="P153" t="s">
        <v>39</v>
      </c>
      <c r="Q153" s="1" t="s">
        <v>21</v>
      </c>
    </row>
    <row r="154" spans="1:17" x14ac:dyDescent="0.35">
      <c r="A154" t="s">
        <v>656</v>
      </c>
      <c r="B154" t="s">
        <v>657</v>
      </c>
      <c r="C154" t="s">
        <v>64</v>
      </c>
      <c r="D154" t="s">
        <v>15</v>
      </c>
      <c r="E154" t="s">
        <v>16</v>
      </c>
      <c r="F154" t="s">
        <v>28</v>
      </c>
      <c r="G154" t="s">
        <v>24</v>
      </c>
      <c r="H154">
        <v>55</v>
      </c>
      <c r="I154" t="str">
        <f>IF(TBL[[#This Row],[Age]]&gt;=60, "Old", IF(TBL[[#This Row],[Age]]&gt;=30, "Adult", "Young"))</f>
        <v>Adult</v>
      </c>
      <c r="J154" s="1">
        <v>41714</v>
      </c>
      <c r="K154">
        <f t="shared" si="2"/>
        <v>2014</v>
      </c>
      <c r="L154">
        <f>MONTH(TBL[[#This Row],[Hire Date]])</f>
        <v>3</v>
      </c>
      <c r="M154" s="7">
        <v>74552</v>
      </c>
      <c r="N154" s="8">
        <v>0</v>
      </c>
      <c r="O154" t="s">
        <v>33</v>
      </c>
      <c r="P154" t="s">
        <v>34</v>
      </c>
      <c r="Q154" s="1" t="s">
        <v>21</v>
      </c>
    </row>
    <row r="155" spans="1:17" x14ac:dyDescent="0.35">
      <c r="A155" t="s">
        <v>245</v>
      </c>
      <c r="B155" t="s">
        <v>658</v>
      </c>
      <c r="C155" t="s">
        <v>26</v>
      </c>
      <c r="D155" t="s">
        <v>27</v>
      </c>
      <c r="E155" t="s">
        <v>36</v>
      </c>
      <c r="F155" t="s">
        <v>17</v>
      </c>
      <c r="G155" t="s">
        <v>24</v>
      </c>
      <c r="H155">
        <v>62</v>
      </c>
      <c r="I155" t="str">
        <f>IF(TBL[[#This Row],[Age]]&gt;=60, "Old", IF(TBL[[#This Row],[Age]]&gt;=30, "Adult", "Young"))</f>
        <v>Old</v>
      </c>
      <c r="J155" s="1">
        <v>39887</v>
      </c>
      <c r="K155">
        <f t="shared" si="2"/>
        <v>2009</v>
      </c>
      <c r="L155">
        <f>MONTH(TBL[[#This Row],[Hire Date]])</f>
        <v>3</v>
      </c>
      <c r="M155" s="7">
        <v>82839</v>
      </c>
      <c r="N155" s="8">
        <v>0</v>
      </c>
      <c r="O155" t="s">
        <v>19</v>
      </c>
      <c r="P155" t="s">
        <v>45</v>
      </c>
      <c r="Q155" s="1" t="s">
        <v>21</v>
      </c>
    </row>
    <row r="156" spans="1:17" x14ac:dyDescent="0.35">
      <c r="A156" t="s">
        <v>659</v>
      </c>
      <c r="B156" t="s">
        <v>660</v>
      </c>
      <c r="C156" t="s">
        <v>71</v>
      </c>
      <c r="D156" t="s">
        <v>27</v>
      </c>
      <c r="E156" t="s">
        <v>44</v>
      </c>
      <c r="F156" t="s">
        <v>17</v>
      </c>
      <c r="G156" t="s">
        <v>18</v>
      </c>
      <c r="H156">
        <v>28</v>
      </c>
      <c r="I156" t="str">
        <f>IF(TBL[[#This Row],[Age]]&gt;=60, "Old", IF(TBL[[#This Row],[Age]]&gt;=30, "Adult", "Young"))</f>
        <v>Young</v>
      </c>
      <c r="J156" s="1">
        <v>44477</v>
      </c>
      <c r="K156">
        <f t="shared" si="2"/>
        <v>2021</v>
      </c>
      <c r="L156">
        <f>MONTH(TBL[[#This Row],[Hire Date]])</f>
        <v>10</v>
      </c>
      <c r="M156" s="7">
        <v>64475</v>
      </c>
      <c r="N156" s="8">
        <v>0</v>
      </c>
      <c r="O156" t="s">
        <v>19</v>
      </c>
      <c r="P156" t="s">
        <v>39</v>
      </c>
      <c r="Q156" s="1" t="s">
        <v>21</v>
      </c>
    </row>
    <row r="157" spans="1:17" x14ac:dyDescent="0.35">
      <c r="A157" t="s">
        <v>661</v>
      </c>
      <c r="B157" t="s">
        <v>662</v>
      </c>
      <c r="C157" t="s">
        <v>71</v>
      </c>
      <c r="D157" t="s">
        <v>27</v>
      </c>
      <c r="E157" t="s">
        <v>36</v>
      </c>
      <c r="F157" t="s">
        <v>28</v>
      </c>
      <c r="G157" t="s">
        <v>24</v>
      </c>
      <c r="H157">
        <v>33</v>
      </c>
      <c r="I157" t="str">
        <f>IF(TBL[[#This Row],[Age]]&gt;=60, "Old", IF(TBL[[#This Row],[Age]]&gt;=30, "Adult", "Young"))</f>
        <v>Adult</v>
      </c>
      <c r="J157" s="1">
        <v>44036</v>
      </c>
      <c r="K157">
        <f t="shared" si="2"/>
        <v>2020</v>
      </c>
      <c r="L157">
        <f>MONTH(TBL[[#This Row],[Hire Date]])</f>
        <v>7</v>
      </c>
      <c r="M157" s="7">
        <v>69453</v>
      </c>
      <c r="N157" s="8">
        <v>0</v>
      </c>
      <c r="O157" t="s">
        <v>33</v>
      </c>
      <c r="P157" t="s">
        <v>34</v>
      </c>
      <c r="Q157" s="1" t="s">
        <v>21</v>
      </c>
    </row>
    <row r="158" spans="1:17" x14ac:dyDescent="0.35">
      <c r="A158" t="s">
        <v>663</v>
      </c>
      <c r="B158" t="s">
        <v>664</v>
      </c>
      <c r="C158" t="s">
        <v>62</v>
      </c>
      <c r="D158" t="s">
        <v>27</v>
      </c>
      <c r="E158" t="s">
        <v>32</v>
      </c>
      <c r="F158" t="s">
        <v>28</v>
      </c>
      <c r="G158" t="s">
        <v>18</v>
      </c>
      <c r="H158">
        <v>32</v>
      </c>
      <c r="I158" t="str">
        <f>IF(TBL[[#This Row],[Age]]&gt;=60, "Old", IF(TBL[[#This Row],[Age]]&gt;=30, "Adult", "Young"))</f>
        <v>Adult</v>
      </c>
      <c r="J158" s="1">
        <v>41642</v>
      </c>
      <c r="K158">
        <f t="shared" si="2"/>
        <v>2014</v>
      </c>
      <c r="L158">
        <f>MONTH(TBL[[#This Row],[Hire Date]])</f>
        <v>1</v>
      </c>
      <c r="M158" s="7">
        <v>127148</v>
      </c>
      <c r="N158" s="8">
        <v>0.1</v>
      </c>
      <c r="O158" t="s">
        <v>19</v>
      </c>
      <c r="P158" t="s">
        <v>45</v>
      </c>
      <c r="Q158" s="1" t="s">
        <v>21</v>
      </c>
    </row>
    <row r="159" spans="1:17" x14ac:dyDescent="0.35">
      <c r="A159" t="s">
        <v>665</v>
      </c>
      <c r="B159" t="s">
        <v>666</v>
      </c>
      <c r="C159" t="s">
        <v>14</v>
      </c>
      <c r="D159" t="s">
        <v>15</v>
      </c>
      <c r="E159" t="s">
        <v>44</v>
      </c>
      <c r="F159" t="s">
        <v>17</v>
      </c>
      <c r="G159" t="s">
        <v>18</v>
      </c>
      <c r="H159">
        <v>32</v>
      </c>
      <c r="I159" t="str">
        <f>IF(TBL[[#This Row],[Age]]&gt;=60, "Old", IF(TBL[[#This Row],[Age]]&gt;=30, "Adult", "Young"))</f>
        <v>Adult</v>
      </c>
      <c r="J159" s="1">
        <v>43102</v>
      </c>
      <c r="K159">
        <f t="shared" si="2"/>
        <v>2018</v>
      </c>
      <c r="L159">
        <f>MONTH(TBL[[#This Row],[Hire Date]])</f>
        <v>1</v>
      </c>
      <c r="M159" s="7">
        <v>190253</v>
      </c>
      <c r="N159" s="8">
        <v>0.33</v>
      </c>
      <c r="O159" t="s">
        <v>19</v>
      </c>
      <c r="P159" t="s">
        <v>25</v>
      </c>
      <c r="Q159" s="1" t="s">
        <v>21</v>
      </c>
    </row>
    <row r="160" spans="1:17" x14ac:dyDescent="0.35">
      <c r="A160" t="s">
        <v>535</v>
      </c>
      <c r="B160" t="s">
        <v>667</v>
      </c>
      <c r="C160" t="s">
        <v>62</v>
      </c>
      <c r="D160" t="s">
        <v>65</v>
      </c>
      <c r="E160" t="s">
        <v>16</v>
      </c>
      <c r="F160" t="s">
        <v>28</v>
      </c>
      <c r="G160" t="s">
        <v>18</v>
      </c>
      <c r="H160">
        <v>55</v>
      </c>
      <c r="I160" t="str">
        <f>IF(TBL[[#This Row],[Age]]&gt;=60, "Old", IF(TBL[[#This Row],[Age]]&gt;=30, "Adult", "Young"))</f>
        <v>Adult</v>
      </c>
      <c r="J160" s="1">
        <v>36644</v>
      </c>
      <c r="K160">
        <f t="shared" si="2"/>
        <v>2000</v>
      </c>
      <c r="L160">
        <f>MONTH(TBL[[#This Row],[Hire Date]])</f>
        <v>4</v>
      </c>
      <c r="M160" s="7">
        <v>115798</v>
      </c>
      <c r="N160" s="8">
        <v>0.05</v>
      </c>
      <c r="O160" t="s">
        <v>19</v>
      </c>
      <c r="P160" t="s">
        <v>45</v>
      </c>
      <c r="Q160" s="1" t="s">
        <v>21</v>
      </c>
    </row>
    <row r="161" spans="1:17" x14ac:dyDescent="0.35">
      <c r="A161" t="s">
        <v>190</v>
      </c>
      <c r="B161" t="s">
        <v>668</v>
      </c>
      <c r="C161" t="s">
        <v>77</v>
      </c>
      <c r="D161" t="s">
        <v>23</v>
      </c>
      <c r="E161" t="s">
        <v>16</v>
      </c>
      <c r="F161" t="s">
        <v>17</v>
      </c>
      <c r="G161" t="s">
        <v>24</v>
      </c>
      <c r="H161">
        <v>58</v>
      </c>
      <c r="I161" t="str">
        <f>IF(TBL[[#This Row],[Age]]&gt;=60, "Old", IF(TBL[[#This Row],[Age]]&gt;=30, "Adult", "Young"))</f>
        <v>Adult</v>
      </c>
      <c r="J161" s="1">
        <v>34567</v>
      </c>
      <c r="K161">
        <f t="shared" si="2"/>
        <v>1994</v>
      </c>
      <c r="L161">
        <f>MONTH(TBL[[#This Row],[Hire Date]])</f>
        <v>8</v>
      </c>
      <c r="M161" s="7">
        <v>93102</v>
      </c>
      <c r="N161" s="8">
        <v>0</v>
      </c>
      <c r="O161" t="s">
        <v>19</v>
      </c>
      <c r="P161" t="s">
        <v>63</v>
      </c>
      <c r="Q161" s="1">
        <v>41621</v>
      </c>
    </row>
    <row r="162" spans="1:17" x14ac:dyDescent="0.35">
      <c r="A162" t="s">
        <v>207</v>
      </c>
      <c r="B162" t="s">
        <v>669</v>
      </c>
      <c r="C162" t="s">
        <v>97</v>
      </c>
      <c r="D162" t="s">
        <v>31</v>
      </c>
      <c r="E162" t="s">
        <v>44</v>
      </c>
      <c r="F162" t="s">
        <v>28</v>
      </c>
      <c r="G162" t="s">
        <v>24</v>
      </c>
      <c r="H162">
        <v>34</v>
      </c>
      <c r="I162" t="str">
        <f>IF(TBL[[#This Row],[Age]]&gt;=60, "Old", IF(TBL[[#This Row],[Age]]&gt;=30, "Adult", "Young"))</f>
        <v>Adult</v>
      </c>
      <c r="J162" s="1">
        <v>43055</v>
      </c>
      <c r="K162">
        <f t="shared" si="2"/>
        <v>2017</v>
      </c>
      <c r="L162">
        <f>MONTH(TBL[[#This Row],[Hire Date]])</f>
        <v>11</v>
      </c>
      <c r="M162" s="7">
        <v>110054</v>
      </c>
      <c r="N162" s="8">
        <v>0.15</v>
      </c>
      <c r="O162" t="s">
        <v>19</v>
      </c>
      <c r="P162" t="s">
        <v>45</v>
      </c>
      <c r="Q162" s="1" t="s">
        <v>21</v>
      </c>
    </row>
    <row r="163" spans="1:17" x14ac:dyDescent="0.35">
      <c r="A163" t="s">
        <v>670</v>
      </c>
      <c r="B163" t="s">
        <v>671</v>
      </c>
      <c r="C163" t="s">
        <v>30</v>
      </c>
      <c r="D163" t="s">
        <v>31</v>
      </c>
      <c r="E163" t="s">
        <v>16</v>
      </c>
      <c r="F163" t="s">
        <v>17</v>
      </c>
      <c r="G163" t="s">
        <v>47</v>
      </c>
      <c r="H163">
        <v>27</v>
      </c>
      <c r="I163" t="str">
        <f>IF(TBL[[#This Row],[Age]]&gt;=60, "Old", IF(TBL[[#This Row],[Age]]&gt;=30, "Adult", "Young"))</f>
        <v>Young</v>
      </c>
      <c r="J163" s="1">
        <v>44224</v>
      </c>
      <c r="K163">
        <f t="shared" si="2"/>
        <v>2021</v>
      </c>
      <c r="L163">
        <f>MONTH(TBL[[#This Row],[Hire Date]])</f>
        <v>1</v>
      </c>
      <c r="M163" s="7">
        <v>95786</v>
      </c>
      <c r="N163" s="8">
        <v>0</v>
      </c>
      <c r="O163" t="s">
        <v>19</v>
      </c>
      <c r="P163" t="s">
        <v>20</v>
      </c>
      <c r="Q163" s="1" t="s">
        <v>21</v>
      </c>
    </row>
    <row r="164" spans="1:17" x14ac:dyDescent="0.35">
      <c r="A164" t="s">
        <v>672</v>
      </c>
      <c r="B164" t="s">
        <v>673</v>
      </c>
      <c r="C164" t="s">
        <v>42</v>
      </c>
      <c r="D164" t="s">
        <v>50</v>
      </c>
      <c r="E164" t="s">
        <v>44</v>
      </c>
      <c r="F164" t="s">
        <v>28</v>
      </c>
      <c r="G164" t="s">
        <v>51</v>
      </c>
      <c r="H164">
        <v>61</v>
      </c>
      <c r="I164" t="str">
        <f>IF(TBL[[#This Row],[Age]]&gt;=60, "Old", IF(TBL[[#This Row],[Age]]&gt;=30, "Adult", "Young"))</f>
        <v>Old</v>
      </c>
      <c r="J164" s="1">
        <v>42858</v>
      </c>
      <c r="K164">
        <f t="shared" si="2"/>
        <v>2017</v>
      </c>
      <c r="L164">
        <f>MONTH(TBL[[#This Row],[Hire Date]])</f>
        <v>5</v>
      </c>
      <c r="M164" s="7">
        <v>90855</v>
      </c>
      <c r="N164" s="8">
        <v>0</v>
      </c>
      <c r="O164" t="s">
        <v>52</v>
      </c>
      <c r="P164" t="s">
        <v>53</v>
      </c>
      <c r="Q164" s="1" t="s">
        <v>21</v>
      </c>
    </row>
    <row r="165" spans="1:17" x14ac:dyDescent="0.35">
      <c r="A165" t="s">
        <v>674</v>
      </c>
      <c r="B165" t="s">
        <v>675</v>
      </c>
      <c r="C165" t="s">
        <v>26</v>
      </c>
      <c r="D165" t="s">
        <v>27</v>
      </c>
      <c r="E165" t="s">
        <v>36</v>
      </c>
      <c r="F165" t="s">
        <v>28</v>
      </c>
      <c r="G165" t="s">
        <v>51</v>
      </c>
      <c r="H165">
        <v>47</v>
      </c>
      <c r="I165" t="str">
        <f>IF(TBL[[#This Row],[Age]]&gt;=60, "Old", IF(TBL[[#This Row],[Age]]&gt;=30, "Adult", "Young"))</f>
        <v>Adult</v>
      </c>
      <c r="J165" s="1">
        <v>36233</v>
      </c>
      <c r="K165">
        <f t="shared" si="2"/>
        <v>1999</v>
      </c>
      <c r="L165">
        <f>MONTH(TBL[[#This Row],[Hire Date]])</f>
        <v>3</v>
      </c>
      <c r="M165" s="7">
        <v>92897</v>
      </c>
      <c r="N165" s="8">
        <v>0</v>
      </c>
      <c r="O165" t="s">
        <v>52</v>
      </c>
      <c r="P165" t="s">
        <v>53</v>
      </c>
      <c r="Q165" s="1" t="s">
        <v>21</v>
      </c>
    </row>
    <row r="166" spans="1:17" x14ac:dyDescent="0.35">
      <c r="A166" t="s">
        <v>272</v>
      </c>
      <c r="B166" t="s">
        <v>676</v>
      </c>
      <c r="C166" t="s">
        <v>14</v>
      </c>
      <c r="D166" t="s">
        <v>43</v>
      </c>
      <c r="E166" t="s">
        <v>44</v>
      </c>
      <c r="F166" t="s">
        <v>28</v>
      </c>
      <c r="G166" t="s">
        <v>24</v>
      </c>
      <c r="H166">
        <v>40</v>
      </c>
      <c r="I166" t="str">
        <f>IF(TBL[[#This Row],[Age]]&gt;=60, "Old", IF(TBL[[#This Row],[Age]]&gt;=30, "Adult", "Young"))</f>
        <v>Adult</v>
      </c>
      <c r="J166" s="1">
        <v>39872</v>
      </c>
      <c r="K166">
        <f t="shared" si="2"/>
        <v>2009</v>
      </c>
      <c r="L166">
        <f>MONTH(TBL[[#This Row],[Hire Date]])</f>
        <v>2</v>
      </c>
      <c r="M166" s="7">
        <v>242919</v>
      </c>
      <c r="N166" s="8">
        <v>0.31</v>
      </c>
      <c r="O166" t="s">
        <v>33</v>
      </c>
      <c r="P166" t="s">
        <v>80</v>
      </c>
      <c r="Q166" s="1" t="s">
        <v>21</v>
      </c>
    </row>
    <row r="167" spans="1:17" x14ac:dyDescent="0.35">
      <c r="A167" t="s">
        <v>210</v>
      </c>
      <c r="B167" t="s">
        <v>677</v>
      </c>
      <c r="C167" t="s">
        <v>40</v>
      </c>
      <c r="D167" t="s">
        <v>31</v>
      </c>
      <c r="E167" t="s">
        <v>44</v>
      </c>
      <c r="F167" t="s">
        <v>28</v>
      </c>
      <c r="G167" t="s">
        <v>18</v>
      </c>
      <c r="H167">
        <v>30</v>
      </c>
      <c r="I167" t="str">
        <f>IF(TBL[[#This Row],[Age]]&gt;=60, "Old", IF(TBL[[#This Row],[Age]]&gt;=30, "Adult", "Young"))</f>
        <v>Adult</v>
      </c>
      <c r="J167" s="1">
        <v>43240</v>
      </c>
      <c r="K167">
        <f t="shared" si="2"/>
        <v>2018</v>
      </c>
      <c r="L167">
        <f>MONTH(TBL[[#This Row],[Hire Date]])</f>
        <v>5</v>
      </c>
      <c r="M167" s="7">
        <v>184368</v>
      </c>
      <c r="N167" s="8">
        <v>0.28999999999999998</v>
      </c>
      <c r="O167" t="s">
        <v>19</v>
      </c>
      <c r="P167" t="s">
        <v>25</v>
      </c>
      <c r="Q167" s="1" t="s">
        <v>21</v>
      </c>
    </row>
    <row r="168" spans="1:17" x14ac:dyDescent="0.35">
      <c r="A168" t="s">
        <v>678</v>
      </c>
      <c r="B168" t="s">
        <v>679</v>
      </c>
      <c r="C168" t="s">
        <v>61</v>
      </c>
      <c r="D168" t="s">
        <v>15</v>
      </c>
      <c r="E168" t="s">
        <v>32</v>
      </c>
      <c r="F168" t="s">
        <v>28</v>
      </c>
      <c r="G168" t="s">
        <v>51</v>
      </c>
      <c r="H168">
        <v>45</v>
      </c>
      <c r="I168" t="str">
        <f>IF(TBL[[#This Row],[Age]]&gt;=60, "Old", IF(TBL[[#This Row],[Age]]&gt;=30, "Adult", "Young"))</f>
        <v>Adult</v>
      </c>
      <c r="J168" s="1">
        <v>44554</v>
      </c>
      <c r="K168">
        <f t="shared" si="2"/>
        <v>2021</v>
      </c>
      <c r="L168">
        <f>MONTH(TBL[[#This Row],[Hire Date]])</f>
        <v>12</v>
      </c>
      <c r="M168" s="7">
        <v>144754</v>
      </c>
      <c r="N168" s="8">
        <v>0.15</v>
      </c>
      <c r="O168" t="s">
        <v>19</v>
      </c>
      <c r="P168" t="s">
        <v>39</v>
      </c>
      <c r="Q168" s="1" t="s">
        <v>21</v>
      </c>
    </row>
    <row r="169" spans="1:17" x14ac:dyDescent="0.35">
      <c r="A169" t="s">
        <v>117</v>
      </c>
      <c r="B169" t="s">
        <v>680</v>
      </c>
      <c r="C169" t="s">
        <v>49</v>
      </c>
      <c r="D169" t="s">
        <v>50</v>
      </c>
      <c r="E169" t="s">
        <v>16</v>
      </c>
      <c r="F169" t="s">
        <v>17</v>
      </c>
      <c r="G169" t="s">
        <v>18</v>
      </c>
      <c r="H169">
        <v>30</v>
      </c>
      <c r="I169" t="str">
        <f>IF(TBL[[#This Row],[Age]]&gt;=60, "Old", IF(TBL[[#This Row],[Age]]&gt;=30, "Adult", "Young"))</f>
        <v>Adult</v>
      </c>
      <c r="J169" s="1">
        <v>42722</v>
      </c>
      <c r="K169">
        <f t="shared" si="2"/>
        <v>2016</v>
      </c>
      <c r="L169">
        <f>MONTH(TBL[[#This Row],[Hire Date]])</f>
        <v>12</v>
      </c>
      <c r="M169" s="7">
        <v>89458</v>
      </c>
      <c r="N169" s="8">
        <v>0</v>
      </c>
      <c r="O169" t="s">
        <v>19</v>
      </c>
      <c r="P169" t="s">
        <v>25</v>
      </c>
      <c r="Q169" s="1" t="s">
        <v>21</v>
      </c>
    </row>
    <row r="170" spans="1:17" x14ac:dyDescent="0.35">
      <c r="A170" t="s">
        <v>681</v>
      </c>
      <c r="B170" t="s">
        <v>682</v>
      </c>
      <c r="C170" t="s">
        <v>14</v>
      </c>
      <c r="D170" t="s">
        <v>65</v>
      </c>
      <c r="E170" t="s">
        <v>32</v>
      </c>
      <c r="F170" t="s">
        <v>17</v>
      </c>
      <c r="G170" t="s">
        <v>24</v>
      </c>
      <c r="H170">
        <v>56</v>
      </c>
      <c r="I170" t="str">
        <f>IF(TBL[[#This Row],[Age]]&gt;=60, "Old", IF(TBL[[#This Row],[Age]]&gt;=30, "Adult", "Young"))</f>
        <v>Adult</v>
      </c>
      <c r="J170" s="1">
        <v>41714</v>
      </c>
      <c r="K170">
        <f t="shared" si="2"/>
        <v>2014</v>
      </c>
      <c r="L170">
        <f>MONTH(TBL[[#This Row],[Hire Date]])</f>
        <v>3</v>
      </c>
      <c r="M170" s="7">
        <v>190815</v>
      </c>
      <c r="N170" s="8">
        <v>0.4</v>
      </c>
      <c r="O170" t="s">
        <v>19</v>
      </c>
      <c r="P170" t="s">
        <v>25</v>
      </c>
      <c r="Q170" s="1" t="s">
        <v>21</v>
      </c>
    </row>
    <row r="171" spans="1:17" x14ac:dyDescent="0.35">
      <c r="A171" t="s">
        <v>187</v>
      </c>
      <c r="B171" t="s">
        <v>515</v>
      </c>
      <c r="C171" t="s">
        <v>61</v>
      </c>
      <c r="D171" t="s">
        <v>50</v>
      </c>
      <c r="E171" t="s">
        <v>16</v>
      </c>
      <c r="F171" t="s">
        <v>17</v>
      </c>
      <c r="G171" t="s">
        <v>18</v>
      </c>
      <c r="H171">
        <v>62</v>
      </c>
      <c r="I171" t="str">
        <f>IF(TBL[[#This Row],[Age]]&gt;=60, "Old", IF(TBL[[#This Row],[Age]]&gt;=30, "Adult", "Young"))</f>
        <v>Old</v>
      </c>
      <c r="J171" s="1">
        <v>36374</v>
      </c>
      <c r="K171">
        <f t="shared" si="2"/>
        <v>1999</v>
      </c>
      <c r="L171">
        <f>MONTH(TBL[[#This Row],[Hire Date]])</f>
        <v>8</v>
      </c>
      <c r="M171" s="7">
        <v>137995</v>
      </c>
      <c r="N171" s="8">
        <v>0.14000000000000001</v>
      </c>
      <c r="O171" t="s">
        <v>19</v>
      </c>
      <c r="P171" t="s">
        <v>25</v>
      </c>
      <c r="Q171" s="1" t="s">
        <v>21</v>
      </c>
    </row>
    <row r="172" spans="1:17" x14ac:dyDescent="0.35">
      <c r="A172" t="s">
        <v>683</v>
      </c>
      <c r="B172" t="s">
        <v>684</v>
      </c>
      <c r="C172" t="s">
        <v>77</v>
      </c>
      <c r="D172" t="s">
        <v>23</v>
      </c>
      <c r="E172" t="s">
        <v>36</v>
      </c>
      <c r="F172" t="s">
        <v>17</v>
      </c>
      <c r="G172" t="s">
        <v>51</v>
      </c>
      <c r="H172">
        <v>45</v>
      </c>
      <c r="I172" t="str">
        <f>IF(TBL[[#This Row],[Age]]&gt;=60, "Old", IF(TBL[[#This Row],[Age]]&gt;=30, "Adult", "Young"))</f>
        <v>Adult</v>
      </c>
      <c r="J172" s="1">
        <v>39437</v>
      </c>
      <c r="K172">
        <f t="shared" si="2"/>
        <v>2007</v>
      </c>
      <c r="L172">
        <f>MONTH(TBL[[#This Row],[Hire Date]])</f>
        <v>12</v>
      </c>
      <c r="M172" s="7">
        <v>93840</v>
      </c>
      <c r="N172" s="8">
        <v>0</v>
      </c>
      <c r="O172" t="s">
        <v>52</v>
      </c>
      <c r="P172" t="s">
        <v>81</v>
      </c>
      <c r="Q172" s="1" t="s">
        <v>21</v>
      </c>
    </row>
    <row r="173" spans="1:17" x14ac:dyDescent="0.35">
      <c r="A173" t="s">
        <v>685</v>
      </c>
      <c r="B173" t="s">
        <v>686</v>
      </c>
      <c r="C173" t="s">
        <v>55</v>
      </c>
      <c r="D173" t="s">
        <v>27</v>
      </c>
      <c r="E173" t="s">
        <v>16</v>
      </c>
      <c r="F173" t="s">
        <v>28</v>
      </c>
      <c r="G173" t="s">
        <v>24</v>
      </c>
      <c r="H173">
        <v>46</v>
      </c>
      <c r="I173" t="str">
        <f>IF(TBL[[#This Row],[Age]]&gt;=60, "Old", IF(TBL[[#This Row],[Age]]&gt;=30, "Adult", "Young"))</f>
        <v>Adult</v>
      </c>
      <c r="J173" s="1">
        <v>44495</v>
      </c>
      <c r="K173">
        <f t="shared" si="2"/>
        <v>2021</v>
      </c>
      <c r="L173">
        <f>MONTH(TBL[[#This Row],[Hire Date]])</f>
        <v>10</v>
      </c>
      <c r="M173" s="7">
        <v>94790</v>
      </c>
      <c r="N173" s="8">
        <v>0</v>
      </c>
      <c r="O173" t="s">
        <v>33</v>
      </c>
      <c r="P173" t="s">
        <v>80</v>
      </c>
      <c r="Q173" s="1" t="s">
        <v>21</v>
      </c>
    </row>
    <row r="174" spans="1:17" x14ac:dyDescent="0.35">
      <c r="A174" t="s">
        <v>201</v>
      </c>
      <c r="B174" t="s">
        <v>687</v>
      </c>
      <c r="C174" t="s">
        <v>14</v>
      </c>
      <c r="D174" t="s">
        <v>23</v>
      </c>
      <c r="E174" t="s">
        <v>16</v>
      </c>
      <c r="F174" t="s">
        <v>28</v>
      </c>
      <c r="G174" t="s">
        <v>24</v>
      </c>
      <c r="H174">
        <v>48</v>
      </c>
      <c r="I174" t="str">
        <f>IF(TBL[[#This Row],[Age]]&gt;=60, "Old", IF(TBL[[#This Row],[Age]]&gt;=30, "Adult", "Young"))</f>
        <v>Adult</v>
      </c>
      <c r="J174" s="1">
        <v>41706</v>
      </c>
      <c r="K174">
        <f t="shared" si="2"/>
        <v>2014</v>
      </c>
      <c r="L174">
        <f>MONTH(TBL[[#This Row],[Hire Date]])</f>
        <v>3</v>
      </c>
      <c r="M174" s="7">
        <v>197367</v>
      </c>
      <c r="N174" s="8">
        <v>0.39</v>
      </c>
      <c r="O174" t="s">
        <v>19</v>
      </c>
      <c r="P174" t="s">
        <v>25</v>
      </c>
      <c r="Q174" s="1" t="s">
        <v>21</v>
      </c>
    </row>
    <row r="175" spans="1:17" x14ac:dyDescent="0.35">
      <c r="A175" t="s">
        <v>235</v>
      </c>
      <c r="B175" t="s">
        <v>688</v>
      </c>
      <c r="C175" t="s">
        <v>40</v>
      </c>
      <c r="D175" t="s">
        <v>65</v>
      </c>
      <c r="E175" t="s">
        <v>36</v>
      </c>
      <c r="F175" t="s">
        <v>17</v>
      </c>
      <c r="G175" t="s">
        <v>51</v>
      </c>
      <c r="H175">
        <v>27</v>
      </c>
      <c r="I175" t="str">
        <f>IF(TBL[[#This Row],[Age]]&gt;=60, "Old", IF(TBL[[#This Row],[Age]]&gt;=30, "Adult", "Young"))</f>
        <v>Young</v>
      </c>
      <c r="J175" s="1">
        <v>43276</v>
      </c>
      <c r="K175">
        <f t="shared" si="2"/>
        <v>2018</v>
      </c>
      <c r="L175">
        <f>MONTH(TBL[[#This Row],[Hire Date]])</f>
        <v>6</v>
      </c>
      <c r="M175" s="7">
        <v>174097</v>
      </c>
      <c r="N175" s="8">
        <v>0.21</v>
      </c>
      <c r="O175" t="s">
        <v>19</v>
      </c>
      <c r="P175" t="s">
        <v>39</v>
      </c>
      <c r="Q175" s="1" t="s">
        <v>21</v>
      </c>
    </row>
    <row r="176" spans="1:17" x14ac:dyDescent="0.35">
      <c r="A176" t="s">
        <v>689</v>
      </c>
      <c r="B176" t="s">
        <v>690</v>
      </c>
      <c r="C176" t="s">
        <v>62</v>
      </c>
      <c r="D176" t="s">
        <v>27</v>
      </c>
      <c r="E176" t="s">
        <v>44</v>
      </c>
      <c r="F176" t="s">
        <v>28</v>
      </c>
      <c r="G176" t="s">
        <v>51</v>
      </c>
      <c r="H176">
        <v>53</v>
      </c>
      <c r="I176" t="str">
        <f>IF(TBL[[#This Row],[Age]]&gt;=60, "Old", IF(TBL[[#This Row],[Age]]&gt;=30, "Adult", "Young"))</f>
        <v>Adult</v>
      </c>
      <c r="J176" s="1">
        <v>39021</v>
      </c>
      <c r="K176">
        <f t="shared" si="2"/>
        <v>2006</v>
      </c>
      <c r="L176">
        <f>MONTH(TBL[[#This Row],[Hire Date]])</f>
        <v>10</v>
      </c>
      <c r="M176" s="7">
        <v>120128</v>
      </c>
      <c r="N176" s="8">
        <v>0.1</v>
      </c>
      <c r="O176" t="s">
        <v>19</v>
      </c>
      <c r="P176" t="s">
        <v>25</v>
      </c>
      <c r="Q176" s="1" t="s">
        <v>21</v>
      </c>
    </row>
    <row r="177" spans="1:17" x14ac:dyDescent="0.35">
      <c r="A177" t="s">
        <v>691</v>
      </c>
      <c r="B177" t="s">
        <v>692</v>
      </c>
      <c r="C177" t="s">
        <v>62</v>
      </c>
      <c r="D177" t="s">
        <v>43</v>
      </c>
      <c r="E177" t="s">
        <v>36</v>
      </c>
      <c r="F177" t="s">
        <v>17</v>
      </c>
      <c r="G177" t="s">
        <v>18</v>
      </c>
      <c r="H177">
        <v>59</v>
      </c>
      <c r="I177" t="str">
        <f>IF(TBL[[#This Row],[Age]]&gt;=60, "Old", IF(TBL[[#This Row],[Age]]&gt;=30, "Adult", "Young"))</f>
        <v>Adult</v>
      </c>
      <c r="J177" s="1">
        <v>39197</v>
      </c>
      <c r="K177">
        <f t="shared" si="2"/>
        <v>2007</v>
      </c>
      <c r="L177">
        <f>MONTH(TBL[[#This Row],[Hire Date]])</f>
        <v>4</v>
      </c>
      <c r="M177" s="7">
        <v>129708</v>
      </c>
      <c r="N177" s="8">
        <v>0.05</v>
      </c>
      <c r="O177" t="s">
        <v>19</v>
      </c>
      <c r="P177" t="s">
        <v>45</v>
      </c>
      <c r="Q177" s="1" t="s">
        <v>21</v>
      </c>
    </row>
    <row r="178" spans="1:17" x14ac:dyDescent="0.35">
      <c r="A178" t="s">
        <v>693</v>
      </c>
      <c r="B178" t="s">
        <v>694</v>
      </c>
      <c r="C178" t="s">
        <v>62</v>
      </c>
      <c r="D178" t="s">
        <v>43</v>
      </c>
      <c r="E178" t="s">
        <v>16</v>
      </c>
      <c r="F178" t="s">
        <v>28</v>
      </c>
      <c r="G178" t="s">
        <v>24</v>
      </c>
      <c r="H178">
        <v>55</v>
      </c>
      <c r="I178" t="str">
        <f>IF(TBL[[#This Row],[Age]]&gt;=60, "Old", IF(TBL[[#This Row],[Age]]&gt;=30, "Adult", "Young"))</f>
        <v>Adult</v>
      </c>
      <c r="J178" s="1">
        <v>34595</v>
      </c>
      <c r="K178">
        <f t="shared" si="2"/>
        <v>1994</v>
      </c>
      <c r="L178">
        <f>MONTH(TBL[[#This Row],[Hire Date]])</f>
        <v>9</v>
      </c>
      <c r="M178" s="7">
        <v>102270</v>
      </c>
      <c r="N178" s="8">
        <v>0.1</v>
      </c>
      <c r="O178" t="s">
        <v>19</v>
      </c>
      <c r="P178" t="s">
        <v>20</v>
      </c>
      <c r="Q178" s="1" t="s">
        <v>21</v>
      </c>
    </row>
    <row r="179" spans="1:17" x14ac:dyDescent="0.35">
      <c r="A179" t="s">
        <v>226</v>
      </c>
      <c r="B179" t="s">
        <v>695</v>
      </c>
      <c r="C179" t="s">
        <v>14</v>
      </c>
      <c r="D179" t="s">
        <v>15</v>
      </c>
      <c r="E179" t="s">
        <v>44</v>
      </c>
      <c r="F179" t="s">
        <v>17</v>
      </c>
      <c r="G179" t="s">
        <v>24</v>
      </c>
      <c r="H179">
        <v>43</v>
      </c>
      <c r="I179" t="str">
        <f>IF(TBL[[#This Row],[Age]]&gt;=60, "Old", IF(TBL[[#This Row],[Age]]&gt;=30, "Adult", "Young"))</f>
        <v>Adult</v>
      </c>
      <c r="J179" s="1">
        <v>38564</v>
      </c>
      <c r="K179">
        <f t="shared" si="2"/>
        <v>2005</v>
      </c>
      <c r="L179">
        <f>MONTH(TBL[[#This Row],[Hire Date]])</f>
        <v>7</v>
      </c>
      <c r="M179" s="7">
        <v>249686</v>
      </c>
      <c r="N179" s="8">
        <v>0.31</v>
      </c>
      <c r="O179" t="s">
        <v>33</v>
      </c>
      <c r="P179" t="s">
        <v>80</v>
      </c>
      <c r="Q179" s="1" t="s">
        <v>21</v>
      </c>
    </row>
    <row r="180" spans="1:17" x14ac:dyDescent="0.35">
      <c r="A180" t="s">
        <v>259</v>
      </c>
      <c r="B180" t="s">
        <v>696</v>
      </c>
      <c r="C180" t="s">
        <v>68</v>
      </c>
      <c r="D180" t="s">
        <v>15</v>
      </c>
      <c r="E180" t="s">
        <v>36</v>
      </c>
      <c r="F180" t="s">
        <v>17</v>
      </c>
      <c r="G180" t="s">
        <v>24</v>
      </c>
      <c r="H180">
        <v>55</v>
      </c>
      <c r="I180" t="str">
        <f>IF(TBL[[#This Row],[Age]]&gt;=60, "Old", IF(TBL[[#This Row],[Age]]&gt;=30, "Adult", "Young"))</f>
        <v>Adult</v>
      </c>
      <c r="J180" s="1">
        <v>37343</v>
      </c>
      <c r="K180">
        <f t="shared" si="2"/>
        <v>2002</v>
      </c>
      <c r="L180">
        <f>MONTH(TBL[[#This Row],[Hire Date]])</f>
        <v>3</v>
      </c>
      <c r="M180" s="7">
        <v>50475</v>
      </c>
      <c r="N180" s="8">
        <v>0</v>
      </c>
      <c r="O180" t="s">
        <v>19</v>
      </c>
      <c r="P180" t="s">
        <v>29</v>
      </c>
      <c r="Q180" s="1" t="s">
        <v>21</v>
      </c>
    </row>
    <row r="181" spans="1:17" x14ac:dyDescent="0.35">
      <c r="A181" t="s">
        <v>697</v>
      </c>
      <c r="B181" t="s">
        <v>698</v>
      </c>
      <c r="C181" t="s">
        <v>62</v>
      </c>
      <c r="D181" t="s">
        <v>43</v>
      </c>
      <c r="E181" t="s">
        <v>16</v>
      </c>
      <c r="F181" t="s">
        <v>28</v>
      </c>
      <c r="G181" t="s">
        <v>18</v>
      </c>
      <c r="H181">
        <v>51</v>
      </c>
      <c r="I181" t="str">
        <f>IF(TBL[[#This Row],[Age]]&gt;=60, "Old", IF(TBL[[#This Row],[Age]]&gt;=30, "Adult", "Young"))</f>
        <v>Adult</v>
      </c>
      <c r="J181" s="1">
        <v>44014</v>
      </c>
      <c r="K181">
        <f t="shared" si="2"/>
        <v>2020</v>
      </c>
      <c r="L181">
        <f>MONTH(TBL[[#This Row],[Hire Date]])</f>
        <v>7</v>
      </c>
      <c r="M181" s="7">
        <v>100099</v>
      </c>
      <c r="N181" s="8">
        <v>0.08</v>
      </c>
      <c r="O181" t="s">
        <v>19</v>
      </c>
      <c r="P181" t="s">
        <v>45</v>
      </c>
      <c r="Q181" s="1" t="s">
        <v>21</v>
      </c>
    </row>
    <row r="182" spans="1:17" x14ac:dyDescent="0.35">
      <c r="A182" t="s">
        <v>699</v>
      </c>
      <c r="B182" t="s">
        <v>700</v>
      </c>
      <c r="C182" t="s">
        <v>73</v>
      </c>
      <c r="D182" t="s">
        <v>27</v>
      </c>
      <c r="E182" t="s">
        <v>36</v>
      </c>
      <c r="F182" t="s">
        <v>17</v>
      </c>
      <c r="G182" t="s">
        <v>18</v>
      </c>
      <c r="H182">
        <v>54</v>
      </c>
      <c r="I182" t="str">
        <f>IF(TBL[[#This Row],[Age]]&gt;=60, "Old", IF(TBL[[#This Row],[Age]]&gt;=30, "Adult", "Young"))</f>
        <v>Adult</v>
      </c>
      <c r="J182" s="1">
        <v>42731</v>
      </c>
      <c r="K182">
        <f t="shared" si="2"/>
        <v>2016</v>
      </c>
      <c r="L182">
        <f>MONTH(TBL[[#This Row],[Hire Date]])</f>
        <v>12</v>
      </c>
      <c r="M182" s="7">
        <v>41673</v>
      </c>
      <c r="N182" s="8">
        <v>0</v>
      </c>
      <c r="O182" t="s">
        <v>19</v>
      </c>
      <c r="P182" t="s">
        <v>45</v>
      </c>
      <c r="Q182" s="1" t="s">
        <v>21</v>
      </c>
    </row>
    <row r="183" spans="1:17" x14ac:dyDescent="0.35">
      <c r="A183" t="s">
        <v>256</v>
      </c>
      <c r="B183" t="s">
        <v>701</v>
      </c>
      <c r="C183" t="s">
        <v>42</v>
      </c>
      <c r="D183" t="s">
        <v>43</v>
      </c>
      <c r="E183" t="s">
        <v>44</v>
      </c>
      <c r="F183" t="s">
        <v>17</v>
      </c>
      <c r="G183" t="s">
        <v>24</v>
      </c>
      <c r="H183">
        <v>47</v>
      </c>
      <c r="I183" t="str">
        <f>IF(TBL[[#This Row],[Age]]&gt;=60, "Old", IF(TBL[[#This Row],[Age]]&gt;=30, "Adult", "Young"))</f>
        <v>Adult</v>
      </c>
      <c r="J183" s="1">
        <v>42928</v>
      </c>
      <c r="K183">
        <f t="shared" si="2"/>
        <v>2017</v>
      </c>
      <c r="L183">
        <f>MONTH(TBL[[#This Row],[Hire Date]])</f>
        <v>7</v>
      </c>
      <c r="M183" s="7">
        <v>70996</v>
      </c>
      <c r="N183" s="8">
        <v>0</v>
      </c>
      <c r="O183" t="s">
        <v>33</v>
      </c>
      <c r="P183" t="s">
        <v>34</v>
      </c>
      <c r="Q183" s="1" t="s">
        <v>21</v>
      </c>
    </row>
    <row r="184" spans="1:17" x14ac:dyDescent="0.35">
      <c r="A184" t="s">
        <v>702</v>
      </c>
      <c r="B184" t="s">
        <v>703</v>
      </c>
      <c r="C184" t="s">
        <v>68</v>
      </c>
      <c r="D184" t="s">
        <v>43</v>
      </c>
      <c r="E184" t="s">
        <v>32</v>
      </c>
      <c r="F184" t="s">
        <v>28</v>
      </c>
      <c r="G184" t="s">
        <v>18</v>
      </c>
      <c r="H184">
        <v>55</v>
      </c>
      <c r="I184" t="str">
        <f>IF(TBL[[#This Row],[Age]]&gt;=60, "Old", IF(TBL[[#This Row],[Age]]&gt;=30, "Adult", "Young"))</f>
        <v>Adult</v>
      </c>
      <c r="J184" s="1">
        <v>38328</v>
      </c>
      <c r="K184">
        <f t="shared" si="2"/>
        <v>2004</v>
      </c>
      <c r="L184">
        <f>MONTH(TBL[[#This Row],[Hire Date]])</f>
        <v>12</v>
      </c>
      <c r="M184" s="7">
        <v>40752</v>
      </c>
      <c r="N184" s="8">
        <v>0</v>
      </c>
      <c r="O184" t="s">
        <v>19</v>
      </c>
      <c r="P184" t="s">
        <v>39</v>
      </c>
      <c r="Q184" s="1" t="s">
        <v>21</v>
      </c>
    </row>
    <row r="185" spans="1:17" x14ac:dyDescent="0.35">
      <c r="A185" t="s">
        <v>704</v>
      </c>
      <c r="B185" t="s">
        <v>705</v>
      </c>
      <c r="C185" t="s">
        <v>35</v>
      </c>
      <c r="D185" t="s">
        <v>27</v>
      </c>
      <c r="E185" t="s">
        <v>36</v>
      </c>
      <c r="F185" t="s">
        <v>17</v>
      </c>
      <c r="G185" t="s">
        <v>24</v>
      </c>
      <c r="H185">
        <v>50</v>
      </c>
      <c r="I185" t="str">
        <f>IF(TBL[[#This Row],[Age]]&gt;=60, "Old", IF(TBL[[#This Row],[Age]]&gt;=30, "Adult", "Young"))</f>
        <v>Adult</v>
      </c>
      <c r="J185" s="1">
        <v>36914</v>
      </c>
      <c r="K185">
        <f t="shared" si="2"/>
        <v>2001</v>
      </c>
      <c r="L185">
        <f>MONTH(TBL[[#This Row],[Hire Date]])</f>
        <v>1</v>
      </c>
      <c r="M185" s="7">
        <v>97537</v>
      </c>
      <c r="N185" s="8">
        <v>0</v>
      </c>
      <c r="O185" t="s">
        <v>33</v>
      </c>
      <c r="P185" t="s">
        <v>34</v>
      </c>
      <c r="Q185" s="1" t="s">
        <v>21</v>
      </c>
    </row>
    <row r="186" spans="1:17" x14ac:dyDescent="0.35">
      <c r="A186" t="s">
        <v>405</v>
      </c>
      <c r="B186" t="s">
        <v>706</v>
      </c>
      <c r="C186" t="s">
        <v>91</v>
      </c>
      <c r="D186" t="s">
        <v>27</v>
      </c>
      <c r="E186" t="s">
        <v>16</v>
      </c>
      <c r="F186" t="s">
        <v>28</v>
      </c>
      <c r="G186" t="s">
        <v>24</v>
      </c>
      <c r="H186">
        <v>31</v>
      </c>
      <c r="I186" t="str">
        <f>IF(TBL[[#This Row],[Age]]&gt;=60, "Old", IF(TBL[[#This Row],[Age]]&gt;=30, "Adult", "Young"))</f>
        <v>Adult</v>
      </c>
      <c r="J186" s="1">
        <v>44086</v>
      </c>
      <c r="K186">
        <f t="shared" si="2"/>
        <v>2020</v>
      </c>
      <c r="L186">
        <f>MONTH(TBL[[#This Row],[Hire Date]])</f>
        <v>9</v>
      </c>
      <c r="M186" s="7">
        <v>96567</v>
      </c>
      <c r="N186" s="8">
        <v>0</v>
      </c>
      <c r="O186" t="s">
        <v>33</v>
      </c>
      <c r="P186" t="s">
        <v>74</v>
      </c>
      <c r="Q186" s="1" t="s">
        <v>21</v>
      </c>
    </row>
    <row r="187" spans="1:17" x14ac:dyDescent="0.35">
      <c r="A187" t="s">
        <v>445</v>
      </c>
      <c r="B187" t="s">
        <v>707</v>
      </c>
      <c r="C187" t="s">
        <v>76</v>
      </c>
      <c r="D187" t="s">
        <v>27</v>
      </c>
      <c r="E187" t="s">
        <v>44</v>
      </c>
      <c r="F187" t="s">
        <v>28</v>
      </c>
      <c r="G187" t="s">
        <v>24</v>
      </c>
      <c r="H187">
        <v>47</v>
      </c>
      <c r="I187" t="str">
        <f>IF(TBL[[#This Row],[Age]]&gt;=60, "Old", IF(TBL[[#This Row],[Age]]&gt;=30, "Adult", "Young"))</f>
        <v>Adult</v>
      </c>
      <c r="J187" s="1">
        <v>36229</v>
      </c>
      <c r="K187">
        <f t="shared" si="2"/>
        <v>1999</v>
      </c>
      <c r="L187">
        <f>MONTH(TBL[[#This Row],[Hire Date]])</f>
        <v>3</v>
      </c>
      <c r="M187" s="7">
        <v>49404</v>
      </c>
      <c r="N187" s="8">
        <v>0</v>
      </c>
      <c r="O187" t="s">
        <v>33</v>
      </c>
      <c r="P187" t="s">
        <v>60</v>
      </c>
      <c r="Q187" s="1" t="s">
        <v>21</v>
      </c>
    </row>
    <row r="188" spans="1:17" x14ac:dyDescent="0.35">
      <c r="A188" t="s">
        <v>708</v>
      </c>
      <c r="B188" t="s">
        <v>709</v>
      </c>
      <c r="C188" t="s">
        <v>91</v>
      </c>
      <c r="D188" t="s">
        <v>27</v>
      </c>
      <c r="E188" t="s">
        <v>16</v>
      </c>
      <c r="F188" t="s">
        <v>28</v>
      </c>
      <c r="G188" t="s">
        <v>51</v>
      </c>
      <c r="H188">
        <v>29</v>
      </c>
      <c r="I188" t="str">
        <f>IF(TBL[[#This Row],[Age]]&gt;=60, "Old", IF(TBL[[#This Row],[Age]]&gt;=30, "Adult", "Young"))</f>
        <v>Young</v>
      </c>
      <c r="J188" s="1">
        <v>43753</v>
      </c>
      <c r="K188">
        <f t="shared" si="2"/>
        <v>2019</v>
      </c>
      <c r="L188">
        <f>MONTH(TBL[[#This Row],[Hire Date]])</f>
        <v>10</v>
      </c>
      <c r="M188" s="7">
        <v>66819</v>
      </c>
      <c r="N188" s="8">
        <v>0</v>
      </c>
      <c r="O188" t="s">
        <v>52</v>
      </c>
      <c r="P188" t="s">
        <v>66</v>
      </c>
      <c r="Q188" s="1" t="s">
        <v>21</v>
      </c>
    </row>
    <row r="189" spans="1:17" x14ac:dyDescent="0.35">
      <c r="A189" t="s">
        <v>710</v>
      </c>
      <c r="B189" t="s">
        <v>711</v>
      </c>
      <c r="C189" t="s">
        <v>68</v>
      </c>
      <c r="D189" t="s">
        <v>43</v>
      </c>
      <c r="E189" t="s">
        <v>44</v>
      </c>
      <c r="F189" t="s">
        <v>28</v>
      </c>
      <c r="G189" t="s">
        <v>51</v>
      </c>
      <c r="H189">
        <v>38</v>
      </c>
      <c r="I189" t="str">
        <f>IF(TBL[[#This Row],[Age]]&gt;=60, "Old", IF(TBL[[#This Row],[Age]]&gt;=30, "Adult", "Young"))</f>
        <v>Adult</v>
      </c>
      <c r="J189" s="1">
        <v>42492</v>
      </c>
      <c r="K189">
        <f t="shared" si="2"/>
        <v>2016</v>
      </c>
      <c r="L189">
        <f>MONTH(TBL[[#This Row],[Hire Date]])</f>
        <v>5</v>
      </c>
      <c r="M189" s="7">
        <v>50784</v>
      </c>
      <c r="N189" s="8">
        <v>0</v>
      </c>
      <c r="O189" t="s">
        <v>52</v>
      </c>
      <c r="P189" t="s">
        <v>66</v>
      </c>
      <c r="Q189" s="1" t="s">
        <v>21</v>
      </c>
    </row>
    <row r="190" spans="1:17" x14ac:dyDescent="0.35">
      <c r="A190" t="s">
        <v>287</v>
      </c>
      <c r="B190" t="s">
        <v>712</v>
      </c>
      <c r="C190" t="s">
        <v>61</v>
      </c>
      <c r="D190" t="s">
        <v>23</v>
      </c>
      <c r="E190" t="s">
        <v>16</v>
      </c>
      <c r="F190" t="s">
        <v>28</v>
      </c>
      <c r="G190" t="s">
        <v>51</v>
      </c>
      <c r="H190">
        <v>29</v>
      </c>
      <c r="I190" t="str">
        <f>IF(TBL[[#This Row],[Age]]&gt;=60, "Old", IF(TBL[[#This Row],[Age]]&gt;=30, "Adult", "Young"))</f>
        <v>Young</v>
      </c>
      <c r="J190" s="1">
        <v>43594</v>
      </c>
      <c r="K190">
        <f t="shared" si="2"/>
        <v>2019</v>
      </c>
      <c r="L190">
        <f>MONTH(TBL[[#This Row],[Hire Date]])</f>
        <v>5</v>
      </c>
      <c r="M190" s="7">
        <v>125828</v>
      </c>
      <c r="N190" s="8">
        <v>0.15</v>
      </c>
      <c r="O190" t="s">
        <v>52</v>
      </c>
      <c r="P190" t="s">
        <v>53</v>
      </c>
      <c r="Q190" s="1" t="s">
        <v>21</v>
      </c>
    </row>
    <row r="191" spans="1:17" x14ac:dyDescent="0.35">
      <c r="A191" t="s">
        <v>208</v>
      </c>
      <c r="B191" t="s">
        <v>713</v>
      </c>
      <c r="C191" t="s">
        <v>77</v>
      </c>
      <c r="D191" t="s">
        <v>23</v>
      </c>
      <c r="E191" t="s">
        <v>36</v>
      </c>
      <c r="F191" t="s">
        <v>28</v>
      </c>
      <c r="G191" t="s">
        <v>18</v>
      </c>
      <c r="H191">
        <v>33</v>
      </c>
      <c r="I191" t="str">
        <f>IF(TBL[[#This Row],[Age]]&gt;=60, "Old", IF(TBL[[#This Row],[Age]]&gt;=30, "Adult", "Young"))</f>
        <v>Adult</v>
      </c>
      <c r="J191" s="1">
        <v>42951</v>
      </c>
      <c r="K191">
        <f t="shared" si="2"/>
        <v>2017</v>
      </c>
      <c r="L191">
        <f>MONTH(TBL[[#This Row],[Hire Date]])</f>
        <v>8</v>
      </c>
      <c r="M191" s="7">
        <v>92610</v>
      </c>
      <c r="N191" s="8">
        <v>0</v>
      </c>
      <c r="O191" t="s">
        <v>19</v>
      </c>
      <c r="P191" t="s">
        <v>29</v>
      </c>
      <c r="Q191" s="1" t="s">
        <v>21</v>
      </c>
    </row>
    <row r="192" spans="1:17" x14ac:dyDescent="0.35">
      <c r="A192" t="s">
        <v>714</v>
      </c>
      <c r="B192" t="s">
        <v>715</v>
      </c>
      <c r="C192" t="s">
        <v>61</v>
      </c>
      <c r="D192" t="s">
        <v>50</v>
      </c>
      <c r="E192" t="s">
        <v>44</v>
      </c>
      <c r="F192" t="s">
        <v>28</v>
      </c>
      <c r="G192" t="s">
        <v>18</v>
      </c>
      <c r="H192">
        <v>50</v>
      </c>
      <c r="I192" t="str">
        <f>IF(TBL[[#This Row],[Age]]&gt;=60, "Old", IF(TBL[[#This Row],[Age]]&gt;=30, "Adult", "Young"))</f>
        <v>Adult</v>
      </c>
      <c r="J192" s="1">
        <v>37705</v>
      </c>
      <c r="K192">
        <f t="shared" si="2"/>
        <v>2003</v>
      </c>
      <c r="L192">
        <f>MONTH(TBL[[#This Row],[Hire Date]])</f>
        <v>3</v>
      </c>
      <c r="M192" s="7">
        <v>123405</v>
      </c>
      <c r="N192" s="8">
        <v>0.13</v>
      </c>
      <c r="O192" t="s">
        <v>19</v>
      </c>
      <c r="P192" t="s">
        <v>29</v>
      </c>
      <c r="Q192" s="1" t="s">
        <v>21</v>
      </c>
    </row>
    <row r="193" spans="1:17" x14ac:dyDescent="0.35">
      <c r="A193" t="s">
        <v>716</v>
      </c>
      <c r="B193" t="s">
        <v>348</v>
      </c>
      <c r="C193" t="s">
        <v>94</v>
      </c>
      <c r="D193" t="s">
        <v>50</v>
      </c>
      <c r="E193" t="s">
        <v>36</v>
      </c>
      <c r="F193" t="s">
        <v>17</v>
      </c>
      <c r="G193" t="s">
        <v>24</v>
      </c>
      <c r="H193">
        <v>46</v>
      </c>
      <c r="I193" t="str">
        <f>IF(TBL[[#This Row],[Age]]&gt;=60, "Old", IF(TBL[[#This Row],[Age]]&gt;=30, "Adult", "Young"))</f>
        <v>Adult</v>
      </c>
      <c r="J193" s="1">
        <v>38066</v>
      </c>
      <c r="K193">
        <f t="shared" si="2"/>
        <v>2004</v>
      </c>
      <c r="L193">
        <f>MONTH(TBL[[#This Row],[Hire Date]])</f>
        <v>3</v>
      </c>
      <c r="M193" s="7">
        <v>73004</v>
      </c>
      <c r="N193" s="8">
        <v>0</v>
      </c>
      <c r="O193" t="s">
        <v>33</v>
      </c>
      <c r="P193" t="s">
        <v>60</v>
      </c>
      <c r="Q193" s="1" t="s">
        <v>21</v>
      </c>
    </row>
    <row r="194" spans="1:17" x14ac:dyDescent="0.35">
      <c r="A194" t="s">
        <v>717</v>
      </c>
      <c r="B194" t="s">
        <v>718</v>
      </c>
      <c r="C194" t="s">
        <v>97</v>
      </c>
      <c r="D194" t="s">
        <v>31</v>
      </c>
      <c r="E194" t="s">
        <v>32</v>
      </c>
      <c r="F194" t="s">
        <v>28</v>
      </c>
      <c r="G194" t="s">
        <v>24</v>
      </c>
      <c r="H194">
        <v>57</v>
      </c>
      <c r="I194" t="str">
        <f>IF(TBL[[#This Row],[Age]]&gt;=60, "Old", IF(TBL[[#This Row],[Age]]&gt;=30, "Adult", "Young"))</f>
        <v>Adult</v>
      </c>
      <c r="J194" s="1">
        <v>36275</v>
      </c>
      <c r="K194">
        <f t="shared" ref="K194:K257" si="3">YEAR(--J194)</f>
        <v>1999</v>
      </c>
      <c r="L194">
        <f>MONTH(TBL[[#This Row],[Hire Date]])</f>
        <v>4</v>
      </c>
      <c r="M194" s="7">
        <v>95061</v>
      </c>
      <c r="N194" s="8">
        <v>0.1</v>
      </c>
      <c r="O194" t="s">
        <v>33</v>
      </c>
      <c r="P194" t="s">
        <v>74</v>
      </c>
      <c r="Q194" s="1" t="s">
        <v>21</v>
      </c>
    </row>
    <row r="195" spans="1:17" x14ac:dyDescent="0.35">
      <c r="A195" t="s">
        <v>185</v>
      </c>
      <c r="B195" t="s">
        <v>719</v>
      </c>
      <c r="C195" t="s">
        <v>40</v>
      </c>
      <c r="D195" t="s">
        <v>50</v>
      </c>
      <c r="E195" t="s">
        <v>32</v>
      </c>
      <c r="F195" t="s">
        <v>17</v>
      </c>
      <c r="G195" t="s">
        <v>51</v>
      </c>
      <c r="H195">
        <v>49</v>
      </c>
      <c r="I195" t="str">
        <f>IF(TBL[[#This Row],[Age]]&gt;=60, "Old", IF(TBL[[#This Row],[Age]]&gt;=30, "Adult", "Young"))</f>
        <v>Adult</v>
      </c>
      <c r="J195" s="1">
        <v>35887</v>
      </c>
      <c r="K195">
        <f t="shared" si="3"/>
        <v>1998</v>
      </c>
      <c r="L195">
        <f>MONTH(TBL[[#This Row],[Hire Date]])</f>
        <v>4</v>
      </c>
      <c r="M195" s="7">
        <v>160832</v>
      </c>
      <c r="N195" s="8">
        <v>0.3</v>
      </c>
      <c r="O195" t="s">
        <v>19</v>
      </c>
      <c r="P195" t="s">
        <v>39</v>
      </c>
      <c r="Q195" s="1" t="s">
        <v>21</v>
      </c>
    </row>
    <row r="196" spans="1:17" x14ac:dyDescent="0.35">
      <c r="A196" t="s">
        <v>720</v>
      </c>
      <c r="B196" t="s">
        <v>721</v>
      </c>
      <c r="C196" t="s">
        <v>82</v>
      </c>
      <c r="D196" t="s">
        <v>27</v>
      </c>
      <c r="E196" t="s">
        <v>36</v>
      </c>
      <c r="F196" t="s">
        <v>28</v>
      </c>
      <c r="G196" t="s">
        <v>47</v>
      </c>
      <c r="H196">
        <v>54</v>
      </c>
      <c r="I196" t="str">
        <f>IF(TBL[[#This Row],[Age]]&gt;=60, "Old", IF(TBL[[#This Row],[Age]]&gt;=30, "Adult", "Young"))</f>
        <v>Adult</v>
      </c>
      <c r="J196" s="1">
        <v>40540</v>
      </c>
      <c r="K196">
        <f t="shared" si="3"/>
        <v>2010</v>
      </c>
      <c r="L196">
        <f>MONTH(TBL[[#This Row],[Hire Date]])</f>
        <v>12</v>
      </c>
      <c r="M196" s="7">
        <v>64417</v>
      </c>
      <c r="N196" s="8">
        <v>0</v>
      </c>
      <c r="O196" t="s">
        <v>19</v>
      </c>
      <c r="P196" t="s">
        <v>29</v>
      </c>
      <c r="Q196" s="1" t="s">
        <v>21</v>
      </c>
    </row>
    <row r="197" spans="1:17" x14ac:dyDescent="0.35">
      <c r="A197" t="s">
        <v>722</v>
      </c>
      <c r="B197" t="s">
        <v>723</v>
      </c>
      <c r="C197" t="s">
        <v>62</v>
      </c>
      <c r="D197" t="s">
        <v>50</v>
      </c>
      <c r="E197" t="s">
        <v>32</v>
      </c>
      <c r="F197" t="s">
        <v>28</v>
      </c>
      <c r="G197" t="s">
        <v>24</v>
      </c>
      <c r="H197">
        <v>28</v>
      </c>
      <c r="I197" t="str">
        <f>IF(TBL[[#This Row],[Age]]&gt;=60, "Old", IF(TBL[[#This Row],[Age]]&gt;=30, "Adult", "Young"))</f>
        <v>Young</v>
      </c>
      <c r="J197" s="1">
        <v>44274</v>
      </c>
      <c r="K197">
        <f t="shared" si="3"/>
        <v>2021</v>
      </c>
      <c r="L197">
        <f>MONTH(TBL[[#This Row],[Hire Date]])</f>
        <v>3</v>
      </c>
      <c r="M197" s="7">
        <v>127543</v>
      </c>
      <c r="N197" s="8">
        <v>0.06</v>
      </c>
      <c r="O197" t="s">
        <v>33</v>
      </c>
      <c r="P197" t="s">
        <v>74</v>
      </c>
      <c r="Q197" s="1" t="s">
        <v>21</v>
      </c>
    </row>
    <row r="198" spans="1:17" x14ac:dyDescent="0.35">
      <c r="A198" t="s">
        <v>724</v>
      </c>
      <c r="B198" t="s">
        <v>725</v>
      </c>
      <c r="C198" t="s">
        <v>68</v>
      </c>
      <c r="D198" t="s">
        <v>43</v>
      </c>
      <c r="E198" t="s">
        <v>36</v>
      </c>
      <c r="F198" t="s">
        <v>28</v>
      </c>
      <c r="G198" t="s">
        <v>51</v>
      </c>
      <c r="H198">
        <v>30</v>
      </c>
      <c r="I198" t="str">
        <f>IF(TBL[[#This Row],[Age]]&gt;=60, "Old", IF(TBL[[#This Row],[Age]]&gt;=30, "Adult", "Young"))</f>
        <v>Adult</v>
      </c>
      <c r="J198" s="1">
        <v>43272</v>
      </c>
      <c r="K198">
        <f t="shared" si="3"/>
        <v>2018</v>
      </c>
      <c r="L198">
        <f>MONTH(TBL[[#This Row],[Hire Date]])</f>
        <v>6</v>
      </c>
      <c r="M198" s="7">
        <v>56154</v>
      </c>
      <c r="N198" s="8">
        <v>0</v>
      </c>
      <c r="O198" t="s">
        <v>52</v>
      </c>
      <c r="P198" t="s">
        <v>53</v>
      </c>
      <c r="Q198" s="1" t="s">
        <v>21</v>
      </c>
    </row>
    <row r="199" spans="1:17" x14ac:dyDescent="0.35">
      <c r="A199" t="s">
        <v>189</v>
      </c>
      <c r="B199" t="s">
        <v>726</v>
      </c>
      <c r="C199" t="s">
        <v>14</v>
      </c>
      <c r="D199" t="s">
        <v>50</v>
      </c>
      <c r="E199" t="s">
        <v>36</v>
      </c>
      <c r="F199" t="s">
        <v>17</v>
      </c>
      <c r="G199" t="s">
        <v>24</v>
      </c>
      <c r="H199">
        <v>36</v>
      </c>
      <c r="I199" t="str">
        <f>IF(TBL[[#This Row],[Age]]&gt;=60, "Old", IF(TBL[[#This Row],[Age]]&gt;=30, "Adult", "Young"))</f>
        <v>Adult</v>
      </c>
      <c r="J199" s="1">
        <v>41692</v>
      </c>
      <c r="K199">
        <f t="shared" si="3"/>
        <v>2014</v>
      </c>
      <c r="L199">
        <f>MONTH(TBL[[#This Row],[Hire Date]])</f>
        <v>2</v>
      </c>
      <c r="M199" s="7">
        <v>218530</v>
      </c>
      <c r="N199" s="8">
        <v>0.3</v>
      </c>
      <c r="O199" t="s">
        <v>33</v>
      </c>
      <c r="P199" t="s">
        <v>74</v>
      </c>
      <c r="Q199" s="1" t="s">
        <v>21</v>
      </c>
    </row>
    <row r="200" spans="1:17" x14ac:dyDescent="0.35">
      <c r="A200" t="s">
        <v>727</v>
      </c>
      <c r="B200" t="s">
        <v>728</v>
      </c>
      <c r="C200" t="s">
        <v>82</v>
      </c>
      <c r="D200" t="s">
        <v>27</v>
      </c>
      <c r="E200" t="s">
        <v>36</v>
      </c>
      <c r="F200" t="s">
        <v>17</v>
      </c>
      <c r="G200" t="s">
        <v>51</v>
      </c>
      <c r="H200">
        <v>36</v>
      </c>
      <c r="I200" t="str">
        <f>IF(TBL[[#This Row],[Age]]&gt;=60, "Old", IF(TBL[[#This Row],[Age]]&gt;=30, "Adult", "Young"))</f>
        <v>Adult</v>
      </c>
      <c r="J200" s="1">
        <v>43818</v>
      </c>
      <c r="K200">
        <f t="shared" si="3"/>
        <v>2019</v>
      </c>
      <c r="L200">
        <f>MONTH(TBL[[#This Row],[Hire Date]])</f>
        <v>12</v>
      </c>
      <c r="M200" s="7">
        <v>91954</v>
      </c>
      <c r="N200" s="8">
        <v>0</v>
      </c>
      <c r="O200" t="s">
        <v>19</v>
      </c>
      <c r="P200" t="s">
        <v>29</v>
      </c>
      <c r="Q200" s="1" t="s">
        <v>21</v>
      </c>
    </row>
    <row r="201" spans="1:17" x14ac:dyDescent="0.35">
      <c r="A201" t="s">
        <v>729</v>
      </c>
      <c r="B201" t="s">
        <v>730</v>
      </c>
      <c r="C201" t="s">
        <v>14</v>
      </c>
      <c r="D201" t="s">
        <v>43</v>
      </c>
      <c r="E201" t="s">
        <v>32</v>
      </c>
      <c r="F201" t="s">
        <v>17</v>
      </c>
      <c r="G201" t="s">
        <v>47</v>
      </c>
      <c r="H201">
        <v>30</v>
      </c>
      <c r="I201" t="str">
        <f>IF(TBL[[#This Row],[Age]]&gt;=60, "Old", IF(TBL[[#This Row],[Age]]&gt;=30, "Adult", "Young"))</f>
        <v>Adult</v>
      </c>
      <c r="J201" s="1">
        <v>42634</v>
      </c>
      <c r="K201">
        <f t="shared" si="3"/>
        <v>2016</v>
      </c>
      <c r="L201">
        <f>MONTH(TBL[[#This Row],[Hire Date]])</f>
        <v>9</v>
      </c>
      <c r="M201" s="7">
        <v>221217</v>
      </c>
      <c r="N201" s="8">
        <v>0.32</v>
      </c>
      <c r="O201" t="s">
        <v>19</v>
      </c>
      <c r="P201" t="s">
        <v>29</v>
      </c>
      <c r="Q201" s="1">
        <v>43003</v>
      </c>
    </row>
    <row r="202" spans="1:17" x14ac:dyDescent="0.35">
      <c r="A202" t="s">
        <v>332</v>
      </c>
      <c r="B202" t="s">
        <v>731</v>
      </c>
      <c r="C202" t="s">
        <v>98</v>
      </c>
      <c r="D202" t="s">
        <v>27</v>
      </c>
      <c r="E202" t="s">
        <v>36</v>
      </c>
      <c r="F202" t="s">
        <v>28</v>
      </c>
      <c r="G202" t="s">
        <v>51</v>
      </c>
      <c r="H202">
        <v>29</v>
      </c>
      <c r="I202" t="str">
        <f>IF(TBL[[#This Row],[Age]]&gt;=60, "Old", IF(TBL[[#This Row],[Age]]&gt;=30, "Adult", "Young"))</f>
        <v>Young</v>
      </c>
      <c r="J202" s="1">
        <v>42866</v>
      </c>
      <c r="K202">
        <f t="shared" si="3"/>
        <v>2017</v>
      </c>
      <c r="L202">
        <f>MONTH(TBL[[#This Row],[Hire Date]])</f>
        <v>5</v>
      </c>
      <c r="M202" s="7">
        <v>87536</v>
      </c>
      <c r="N202" s="8">
        <v>0</v>
      </c>
      <c r="O202" t="s">
        <v>19</v>
      </c>
      <c r="P202" t="s">
        <v>63</v>
      </c>
      <c r="Q202" s="1" t="s">
        <v>21</v>
      </c>
    </row>
    <row r="203" spans="1:17" x14ac:dyDescent="0.35">
      <c r="A203" t="s">
        <v>184</v>
      </c>
      <c r="B203" t="s">
        <v>732</v>
      </c>
      <c r="C203" t="s">
        <v>68</v>
      </c>
      <c r="D203" t="s">
        <v>50</v>
      </c>
      <c r="E203" t="s">
        <v>32</v>
      </c>
      <c r="F203" t="s">
        <v>17</v>
      </c>
      <c r="G203" t="s">
        <v>51</v>
      </c>
      <c r="H203">
        <v>47</v>
      </c>
      <c r="I203" t="str">
        <f>IF(TBL[[#This Row],[Age]]&gt;=60, "Old", IF(TBL[[#This Row],[Age]]&gt;=30, "Adult", "Young"))</f>
        <v>Adult</v>
      </c>
      <c r="J203" s="1">
        <v>42164</v>
      </c>
      <c r="K203">
        <f t="shared" si="3"/>
        <v>2015</v>
      </c>
      <c r="L203">
        <f>MONTH(TBL[[#This Row],[Hire Date]])</f>
        <v>6</v>
      </c>
      <c r="M203" s="7">
        <v>41429</v>
      </c>
      <c r="N203" s="8">
        <v>0</v>
      </c>
      <c r="O203" t="s">
        <v>19</v>
      </c>
      <c r="P203" t="s">
        <v>63</v>
      </c>
      <c r="Q203" s="1" t="s">
        <v>21</v>
      </c>
    </row>
    <row r="204" spans="1:17" x14ac:dyDescent="0.35">
      <c r="A204" t="s">
        <v>733</v>
      </c>
      <c r="B204" t="s">
        <v>734</v>
      </c>
      <c r="C204" t="s">
        <v>14</v>
      </c>
      <c r="D204" t="s">
        <v>31</v>
      </c>
      <c r="E204" t="s">
        <v>36</v>
      </c>
      <c r="F204" t="s">
        <v>28</v>
      </c>
      <c r="G204" t="s">
        <v>24</v>
      </c>
      <c r="H204">
        <v>35</v>
      </c>
      <c r="I204" t="str">
        <f>IF(TBL[[#This Row],[Age]]&gt;=60, "Old", IF(TBL[[#This Row],[Age]]&gt;=30, "Adult", "Young"))</f>
        <v>Adult</v>
      </c>
      <c r="J204" s="1">
        <v>40826</v>
      </c>
      <c r="K204">
        <f t="shared" si="3"/>
        <v>2011</v>
      </c>
      <c r="L204">
        <f>MONTH(TBL[[#This Row],[Hire Date]])</f>
        <v>10</v>
      </c>
      <c r="M204" s="7">
        <v>245482</v>
      </c>
      <c r="N204" s="8">
        <v>0.39</v>
      </c>
      <c r="O204" t="s">
        <v>19</v>
      </c>
      <c r="P204" t="s">
        <v>63</v>
      </c>
      <c r="Q204" s="1" t="s">
        <v>21</v>
      </c>
    </row>
    <row r="205" spans="1:17" x14ac:dyDescent="0.35">
      <c r="A205" t="s">
        <v>327</v>
      </c>
      <c r="B205" t="s">
        <v>735</v>
      </c>
      <c r="C205" t="s">
        <v>86</v>
      </c>
      <c r="D205" t="s">
        <v>31</v>
      </c>
      <c r="E205" t="s">
        <v>36</v>
      </c>
      <c r="F205" t="s">
        <v>17</v>
      </c>
      <c r="G205" t="s">
        <v>18</v>
      </c>
      <c r="H205">
        <v>25</v>
      </c>
      <c r="I205" t="str">
        <f>IF(TBL[[#This Row],[Age]]&gt;=60, "Old", IF(TBL[[#This Row],[Age]]&gt;=30, "Adult", "Young"))</f>
        <v>Young</v>
      </c>
      <c r="J205" s="1">
        <v>43850</v>
      </c>
      <c r="K205">
        <f t="shared" si="3"/>
        <v>2020</v>
      </c>
      <c r="L205">
        <f>MONTH(TBL[[#This Row],[Hire Date]])</f>
        <v>1</v>
      </c>
      <c r="M205" s="7">
        <v>71359</v>
      </c>
      <c r="N205" s="8">
        <v>0</v>
      </c>
      <c r="O205" t="s">
        <v>19</v>
      </c>
      <c r="P205" t="s">
        <v>39</v>
      </c>
      <c r="Q205" s="1" t="s">
        <v>21</v>
      </c>
    </row>
    <row r="206" spans="1:17" x14ac:dyDescent="0.35">
      <c r="A206" t="s">
        <v>736</v>
      </c>
      <c r="B206" t="s">
        <v>737</v>
      </c>
      <c r="C206" t="s">
        <v>40</v>
      </c>
      <c r="D206" t="s">
        <v>31</v>
      </c>
      <c r="E206" t="s">
        <v>44</v>
      </c>
      <c r="F206" t="s">
        <v>28</v>
      </c>
      <c r="G206" t="s">
        <v>24</v>
      </c>
      <c r="H206">
        <v>45</v>
      </c>
      <c r="I206" t="str">
        <f>IF(TBL[[#This Row],[Age]]&gt;=60, "Old", IF(TBL[[#This Row],[Age]]&gt;=30, "Adult", "Young"))</f>
        <v>Adult</v>
      </c>
      <c r="J206" s="1">
        <v>41879</v>
      </c>
      <c r="K206">
        <f t="shared" si="3"/>
        <v>2014</v>
      </c>
      <c r="L206">
        <f>MONTH(TBL[[#This Row],[Hire Date]])</f>
        <v>8</v>
      </c>
      <c r="M206" s="7">
        <v>183161</v>
      </c>
      <c r="N206" s="8">
        <v>0.22</v>
      </c>
      <c r="O206" t="s">
        <v>19</v>
      </c>
      <c r="P206" t="s">
        <v>45</v>
      </c>
      <c r="Q206" s="1" t="s">
        <v>21</v>
      </c>
    </row>
    <row r="207" spans="1:17" x14ac:dyDescent="0.35">
      <c r="A207" t="s">
        <v>738</v>
      </c>
      <c r="B207" t="s">
        <v>162</v>
      </c>
      <c r="C207" t="s">
        <v>89</v>
      </c>
      <c r="D207" t="s">
        <v>27</v>
      </c>
      <c r="E207" t="s">
        <v>32</v>
      </c>
      <c r="F207" t="s">
        <v>28</v>
      </c>
      <c r="G207" t="s">
        <v>18</v>
      </c>
      <c r="H207">
        <v>58</v>
      </c>
      <c r="I207" t="str">
        <f>IF(TBL[[#This Row],[Age]]&gt;=60, "Old", IF(TBL[[#This Row],[Age]]&gt;=30, "Adult", "Young"))</f>
        <v>Adult</v>
      </c>
      <c r="J207" s="1">
        <v>34176</v>
      </c>
      <c r="K207">
        <f t="shared" si="3"/>
        <v>1993</v>
      </c>
      <c r="L207">
        <f>MONTH(TBL[[#This Row],[Hire Date]])</f>
        <v>7</v>
      </c>
      <c r="M207" s="7">
        <v>69260</v>
      </c>
      <c r="N207" s="8">
        <v>0</v>
      </c>
      <c r="O207" t="s">
        <v>19</v>
      </c>
      <c r="P207" t="s">
        <v>39</v>
      </c>
      <c r="Q207" s="1" t="s">
        <v>21</v>
      </c>
    </row>
    <row r="208" spans="1:17" x14ac:dyDescent="0.35">
      <c r="A208" t="s">
        <v>739</v>
      </c>
      <c r="B208" t="s">
        <v>740</v>
      </c>
      <c r="C208" t="s">
        <v>69</v>
      </c>
      <c r="D208" t="s">
        <v>31</v>
      </c>
      <c r="E208" t="s">
        <v>44</v>
      </c>
      <c r="F208" t="s">
        <v>28</v>
      </c>
      <c r="G208" t="s">
        <v>18</v>
      </c>
      <c r="H208">
        <v>51</v>
      </c>
      <c r="I208" t="str">
        <f>IF(TBL[[#This Row],[Age]]&gt;=60, "Old", IF(TBL[[#This Row],[Age]]&gt;=30, "Adult", "Young"))</f>
        <v>Adult</v>
      </c>
      <c r="J208" s="1">
        <v>36442</v>
      </c>
      <c r="K208">
        <f t="shared" si="3"/>
        <v>1999</v>
      </c>
      <c r="L208">
        <f>MONTH(TBL[[#This Row],[Hire Date]])</f>
        <v>10</v>
      </c>
      <c r="M208" s="7">
        <v>95639</v>
      </c>
      <c r="N208" s="8">
        <v>0</v>
      </c>
      <c r="O208" t="s">
        <v>19</v>
      </c>
      <c r="P208" t="s">
        <v>25</v>
      </c>
      <c r="Q208" s="1" t="s">
        <v>21</v>
      </c>
    </row>
    <row r="209" spans="1:17" x14ac:dyDescent="0.35">
      <c r="A209" t="s">
        <v>741</v>
      </c>
      <c r="B209" t="s">
        <v>742</v>
      </c>
      <c r="C209" t="s">
        <v>62</v>
      </c>
      <c r="D209" t="s">
        <v>23</v>
      </c>
      <c r="E209" t="s">
        <v>16</v>
      </c>
      <c r="F209" t="s">
        <v>28</v>
      </c>
      <c r="G209" t="s">
        <v>24</v>
      </c>
      <c r="H209">
        <v>48</v>
      </c>
      <c r="I209" t="str">
        <f>IF(TBL[[#This Row],[Age]]&gt;=60, "Old", IF(TBL[[#This Row],[Age]]&gt;=30, "Adult", "Young"))</f>
        <v>Adult</v>
      </c>
      <c r="J209" s="1">
        <v>38168</v>
      </c>
      <c r="K209">
        <f t="shared" si="3"/>
        <v>2004</v>
      </c>
      <c r="L209">
        <f>MONTH(TBL[[#This Row],[Hire Date]])</f>
        <v>6</v>
      </c>
      <c r="M209" s="7">
        <v>120660</v>
      </c>
      <c r="N209" s="8">
        <v>7.0000000000000007E-2</v>
      </c>
      <c r="O209" t="s">
        <v>33</v>
      </c>
      <c r="P209" t="s">
        <v>34</v>
      </c>
      <c r="Q209" s="1" t="s">
        <v>21</v>
      </c>
    </row>
    <row r="210" spans="1:17" x14ac:dyDescent="0.35">
      <c r="A210" t="s">
        <v>743</v>
      </c>
      <c r="B210" t="s">
        <v>744</v>
      </c>
      <c r="C210" t="s">
        <v>42</v>
      </c>
      <c r="D210" t="s">
        <v>50</v>
      </c>
      <c r="E210" t="s">
        <v>32</v>
      </c>
      <c r="F210" t="s">
        <v>28</v>
      </c>
      <c r="G210" t="s">
        <v>47</v>
      </c>
      <c r="H210">
        <v>36</v>
      </c>
      <c r="I210" t="str">
        <f>IF(TBL[[#This Row],[Age]]&gt;=60, "Old", IF(TBL[[#This Row],[Age]]&gt;=30, "Adult", "Young"))</f>
        <v>Adult</v>
      </c>
      <c r="J210" s="1">
        <v>44556</v>
      </c>
      <c r="K210">
        <f t="shared" si="3"/>
        <v>2021</v>
      </c>
      <c r="L210">
        <f>MONTH(TBL[[#This Row],[Hire Date]])</f>
        <v>12</v>
      </c>
      <c r="M210" s="7">
        <v>75119</v>
      </c>
      <c r="N210" s="8">
        <v>0</v>
      </c>
      <c r="O210" t="s">
        <v>19</v>
      </c>
      <c r="P210" t="s">
        <v>20</v>
      </c>
      <c r="Q210" s="1" t="s">
        <v>21</v>
      </c>
    </row>
    <row r="211" spans="1:17" x14ac:dyDescent="0.35">
      <c r="A211" t="s">
        <v>258</v>
      </c>
      <c r="B211" t="s">
        <v>745</v>
      </c>
      <c r="C211" t="s">
        <v>14</v>
      </c>
      <c r="D211" t="s">
        <v>65</v>
      </c>
      <c r="E211" t="s">
        <v>16</v>
      </c>
      <c r="F211" t="s">
        <v>28</v>
      </c>
      <c r="G211" t="s">
        <v>24</v>
      </c>
      <c r="H211">
        <v>59</v>
      </c>
      <c r="I211" t="str">
        <f>IF(TBL[[#This Row],[Age]]&gt;=60, "Old", IF(TBL[[#This Row],[Age]]&gt;=30, "Adult", "Young"))</f>
        <v>Adult</v>
      </c>
      <c r="J211" s="1">
        <v>40681</v>
      </c>
      <c r="K211">
        <f t="shared" si="3"/>
        <v>2011</v>
      </c>
      <c r="L211">
        <f>MONTH(TBL[[#This Row],[Hire Date]])</f>
        <v>5</v>
      </c>
      <c r="M211" s="7">
        <v>192213</v>
      </c>
      <c r="N211" s="8">
        <v>0.4</v>
      </c>
      <c r="O211" t="s">
        <v>19</v>
      </c>
      <c r="P211" t="s">
        <v>20</v>
      </c>
      <c r="Q211" s="1" t="s">
        <v>21</v>
      </c>
    </row>
    <row r="212" spans="1:17" x14ac:dyDescent="0.35">
      <c r="A212" t="s">
        <v>746</v>
      </c>
      <c r="B212" t="s">
        <v>747</v>
      </c>
      <c r="C212" t="s">
        <v>94</v>
      </c>
      <c r="D212" t="s">
        <v>50</v>
      </c>
      <c r="E212" t="s">
        <v>44</v>
      </c>
      <c r="F212" t="s">
        <v>17</v>
      </c>
      <c r="G212" t="s">
        <v>51</v>
      </c>
      <c r="H212">
        <v>45</v>
      </c>
      <c r="I212" t="str">
        <f>IF(TBL[[#This Row],[Age]]&gt;=60, "Old", IF(TBL[[#This Row],[Age]]&gt;=30, "Adult", "Young"))</f>
        <v>Adult</v>
      </c>
      <c r="J212" s="1">
        <v>41769</v>
      </c>
      <c r="K212">
        <f t="shared" si="3"/>
        <v>2014</v>
      </c>
      <c r="L212">
        <f>MONTH(TBL[[#This Row],[Hire Date]])</f>
        <v>5</v>
      </c>
      <c r="M212" s="7">
        <v>65047</v>
      </c>
      <c r="N212" s="8">
        <v>0</v>
      </c>
      <c r="O212" t="s">
        <v>52</v>
      </c>
      <c r="P212" t="s">
        <v>53</v>
      </c>
      <c r="Q212" s="1" t="s">
        <v>21</v>
      </c>
    </row>
    <row r="213" spans="1:17" x14ac:dyDescent="0.35">
      <c r="A213" t="s">
        <v>748</v>
      </c>
      <c r="B213" t="s">
        <v>749</v>
      </c>
      <c r="C213" t="s">
        <v>61</v>
      </c>
      <c r="D213" t="s">
        <v>50</v>
      </c>
      <c r="E213" t="s">
        <v>36</v>
      </c>
      <c r="F213" t="s">
        <v>28</v>
      </c>
      <c r="G213" t="s">
        <v>18</v>
      </c>
      <c r="H213">
        <v>29</v>
      </c>
      <c r="I213" t="str">
        <f>IF(TBL[[#This Row],[Age]]&gt;=60, "Old", IF(TBL[[#This Row],[Age]]&gt;=30, "Adult", "Young"))</f>
        <v>Young</v>
      </c>
      <c r="J213" s="1">
        <v>42810</v>
      </c>
      <c r="K213">
        <f t="shared" si="3"/>
        <v>2017</v>
      </c>
      <c r="L213">
        <f>MONTH(TBL[[#This Row],[Hire Date]])</f>
        <v>3</v>
      </c>
      <c r="M213" s="7">
        <v>151413</v>
      </c>
      <c r="N213" s="8">
        <v>0.15</v>
      </c>
      <c r="O213" t="s">
        <v>19</v>
      </c>
      <c r="P213" t="s">
        <v>63</v>
      </c>
      <c r="Q213" s="1" t="s">
        <v>21</v>
      </c>
    </row>
    <row r="214" spans="1:17" x14ac:dyDescent="0.35">
      <c r="A214" t="s">
        <v>750</v>
      </c>
      <c r="B214" t="s">
        <v>751</v>
      </c>
      <c r="C214" t="s">
        <v>42</v>
      </c>
      <c r="D214" t="s">
        <v>65</v>
      </c>
      <c r="E214" t="s">
        <v>44</v>
      </c>
      <c r="F214" t="s">
        <v>28</v>
      </c>
      <c r="G214" t="s">
        <v>18</v>
      </c>
      <c r="H214">
        <v>62</v>
      </c>
      <c r="I214" t="str">
        <f>IF(TBL[[#This Row],[Age]]&gt;=60, "Old", IF(TBL[[#This Row],[Age]]&gt;=30, "Adult", "Young"))</f>
        <v>Old</v>
      </c>
      <c r="J214" s="1">
        <v>37733</v>
      </c>
      <c r="K214">
        <f t="shared" si="3"/>
        <v>2003</v>
      </c>
      <c r="L214">
        <f>MONTH(TBL[[#This Row],[Hire Date]])</f>
        <v>4</v>
      </c>
      <c r="M214" s="7">
        <v>76906</v>
      </c>
      <c r="N214" s="8">
        <v>0</v>
      </c>
      <c r="O214" t="s">
        <v>19</v>
      </c>
      <c r="P214" t="s">
        <v>63</v>
      </c>
      <c r="Q214" s="1" t="s">
        <v>21</v>
      </c>
    </row>
    <row r="215" spans="1:17" x14ac:dyDescent="0.35">
      <c r="A215" t="s">
        <v>752</v>
      </c>
      <c r="B215" t="s">
        <v>753</v>
      </c>
      <c r="C215" t="s">
        <v>62</v>
      </c>
      <c r="D215" t="s">
        <v>27</v>
      </c>
      <c r="E215" t="s">
        <v>32</v>
      </c>
      <c r="F215" t="s">
        <v>28</v>
      </c>
      <c r="G215" t="s">
        <v>24</v>
      </c>
      <c r="H215">
        <v>51</v>
      </c>
      <c r="I215" t="str">
        <f>IF(TBL[[#This Row],[Age]]&gt;=60, "Old", IF(TBL[[#This Row],[Age]]&gt;=30, "Adult", "Young"))</f>
        <v>Adult</v>
      </c>
      <c r="J215" s="1">
        <v>34388</v>
      </c>
      <c r="K215">
        <f t="shared" si="3"/>
        <v>1994</v>
      </c>
      <c r="L215">
        <f>MONTH(TBL[[#This Row],[Hire Date]])</f>
        <v>2</v>
      </c>
      <c r="M215" s="7">
        <v>122802</v>
      </c>
      <c r="N215" s="8">
        <v>0.05</v>
      </c>
      <c r="O215" t="s">
        <v>33</v>
      </c>
      <c r="P215" t="s">
        <v>74</v>
      </c>
      <c r="Q215" s="1" t="s">
        <v>21</v>
      </c>
    </row>
    <row r="216" spans="1:17" x14ac:dyDescent="0.35">
      <c r="A216" t="s">
        <v>754</v>
      </c>
      <c r="B216" t="s">
        <v>755</v>
      </c>
      <c r="C216" t="s">
        <v>86</v>
      </c>
      <c r="D216" t="s">
        <v>31</v>
      </c>
      <c r="E216" t="s">
        <v>16</v>
      </c>
      <c r="F216" t="s">
        <v>28</v>
      </c>
      <c r="G216" t="s">
        <v>51</v>
      </c>
      <c r="H216">
        <v>47</v>
      </c>
      <c r="I216" t="str">
        <f>IF(TBL[[#This Row],[Age]]&gt;=60, "Old", IF(TBL[[#This Row],[Age]]&gt;=30, "Adult", "Young"))</f>
        <v>Adult</v>
      </c>
      <c r="J216" s="1">
        <v>35990</v>
      </c>
      <c r="K216">
        <f t="shared" si="3"/>
        <v>1998</v>
      </c>
      <c r="L216">
        <f>MONTH(TBL[[#This Row],[Hire Date]])</f>
        <v>7</v>
      </c>
      <c r="M216" s="7">
        <v>99091</v>
      </c>
      <c r="N216" s="8">
        <v>0</v>
      </c>
      <c r="O216" t="s">
        <v>19</v>
      </c>
      <c r="P216" t="s">
        <v>25</v>
      </c>
      <c r="Q216" s="1" t="s">
        <v>21</v>
      </c>
    </row>
    <row r="217" spans="1:17" x14ac:dyDescent="0.35">
      <c r="A217" t="s">
        <v>219</v>
      </c>
      <c r="B217" t="s">
        <v>756</v>
      </c>
      <c r="C217" t="s">
        <v>84</v>
      </c>
      <c r="D217" t="s">
        <v>31</v>
      </c>
      <c r="E217" t="s">
        <v>36</v>
      </c>
      <c r="F217" t="s">
        <v>28</v>
      </c>
      <c r="G217" t="s">
        <v>51</v>
      </c>
      <c r="H217">
        <v>40</v>
      </c>
      <c r="I217" t="str">
        <f>IF(TBL[[#This Row],[Age]]&gt;=60, "Old", IF(TBL[[#This Row],[Age]]&gt;=30, "Adult", "Young"))</f>
        <v>Adult</v>
      </c>
      <c r="J217" s="1">
        <v>39506</v>
      </c>
      <c r="K217">
        <f t="shared" si="3"/>
        <v>2008</v>
      </c>
      <c r="L217">
        <f>MONTH(TBL[[#This Row],[Hire Date]])</f>
        <v>2</v>
      </c>
      <c r="M217" s="7">
        <v>113987</v>
      </c>
      <c r="N217" s="8">
        <v>0</v>
      </c>
      <c r="O217" t="s">
        <v>52</v>
      </c>
      <c r="P217" t="s">
        <v>81</v>
      </c>
      <c r="Q217" s="1" t="s">
        <v>21</v>
      </c>
    </row>
    <row r="218" spans="1:17" x14ac:dyDescent="0.35">
      <c r="A218" t="s">
        <v>322</v>
      </c>
      <c r="B218" t="s">
        <v>311</v>
      </c>
      <c r="C218" t="s">
        <v>42</v>
      </c>
      <c r="D218" t="s">
        <v>15</v>
      </c>
      <c r="E218" t="s">
        <v>32</v>
      </c>
      <c r="F218" t="s">
        <v>17</v>
      </c>
      <c r="G218" t="s">
        <v>18</v>
      </c>
      <c r="H218">
        <v>28</v>
      </c>
      <c r="I218" t="str">
        <f>IF(TBL[[#This Row],[Age]]&gt;=60, "Old", IF(TBL[[#This Row],[Age]]&gt;=30, "Adult", "Young"))</f>
        <v>Young</v>
      </c>
      <c r="J218" s="1">
        <v>44078</v>
      </c>
      <c r="K218">
        <f t="shared" si="3"/>
        <v>2020</v>
      </c>
      <c r="L218">
        <f>MONTH(TBL[[#This Row],[Hire Date]])</f>
        <v>9</v>
      </c>
      <c r="M218" s="7">
        <v>95045</v>
      </c>
      <c r="N218" s="8">
        <v>0</v>
      </c>
      <c r="O218" t="s">
        <v>19</v>
      </c>
      <c r="P218" t="s">
        <v>20</v>
      </c>
      <c r="Q218" s="1" t="s">
        <v>21</v>
      </c>
    </row>
    <row r="219" spans="1:17" x14ac:dyDescent="0.35">
      <c r="A219" t="s">
        <v>757</v>
      </c>
      <c r="B219" t="s">
        <v>758</v>
      </c>
      <c r="C219" t="s">
        <v>14</v>
      </c>
      <c r="D219" t="s">
        <v>43</v>
      </c>
      <c r="E219" t="s">
        <v>44</v>
      </c>
      <c r="F219" t="s">
        <v>17</v>
      </c>
      <c r="G219" t="s">
        <v>18</v>
      </c>
      <c r="H219">
        <v>29</v>
      </c>
      <c r="I219" t="str">
        <f>IF(TBL[[#This Row],[Age]]&gt;=60, "Old", IF(TBL[[#This Row],[Age]]&gt;=30, "Adult", "Young"))</f>
        <v>Young</v>
      </c>
      <c r="J219" s="1">
        <v>42740</v>
      </c>
      <c r="K219">
        <f t="shared" si="3"/>
        <v>2017</v>
      </c>
      <c r="L219">
        <f>MONTH(TBL[[#This Row],[Hire Date]])</f>
        <v>1</v>
      </c>
      <c r="M219" s="7">
        <v>190401</v>
      </c>
      <c r="N219" s="8">
        <v>0.37</v>
      </c>
      <c r="O219" t="s">
        <v>19</v>
      </c>
      <c r="P219" t="s">
        <v>29</v>
      </c>
      <c r="Q219" s="1" t="s">
        <v>21</v>
      </c>
    </row>
    <row r="220" spans="1:17" x14ac:dyDescent="0.35">
      <c r="A220" t="s">
        <v>759</v>
      </c>
      <c r="B220" t="s">
        <v>760</v>
      </c>
      <c r="C220" t="s">
        <v>42</v>
      </c>
      <c r="D220" t="s">
        <v>15</v>
      </c>
      <c r="E220" t="s">
        <v>32</v>
      </c>
      <c r="F220" t="s">
        <v>28</v>
      </c>
      <c r="G220" t="s">
        <v>51</v>
      </c>
      <c r="H220">
        <v>46</v>
      </c>
      <c r="I220" t="str">
        <f>IF(TBL[[#This Row],[Age]]&gt;=60, "Old", IF(TBL[[#This Row],[Age]]&gt;=30, "Adult", "Young"))</f>
        <v>Adult</v>
      </c>
      <c r="J220" s="1">
        <v>41294</v>
      </c>
      <c r="K220">
        <f t="shared" si="3"/>
        <v>2013</v>
      </c>
      <c r="L220">
        <f>MONTH(TBL[[#This Row],[Hire Date]])</f>
        <v>1</v>
      </c>
      <c r="M220" s="7">
        <v>86061</v>
      </c>
      <c r="N220" s="8">
        <v>0</v>
      </c>
      <c r="O220" t="s">
        <v>52</v>
      </c>
      <c r="P220" t="s">
        <v>66</v>
      </c>
      <c r="Q220" s="1" t="s">
        <v>21</v>
      </c>
    </row>
    <row r="221" spans="1:17" x14ac:dyDescent="0.35">
      <c r="A221" t="s">
        <v>761</v>
      </c>
      <c r="B221" t="s">
        <v>762</v>
      </c>
      <c r="C221" t="s">
        <v>49</v>
      </c>
      <c r="D221" t="s">
        <v>50</v>
      </c>
      <c r="E221" t="s">
        <v>44</v>
      </c>
      <c r="F221" t="s">
        <v>28</v>
      </c>
      <c r="G221" t="s">
        <v>51</v>
      </c>
      <c r="H221">
        <v>45</v>
      </c>
      <c r="I221" t="str">
        <f>IF(TBL[[#This Row],[Age]]&gt;=60, "Old", IF(TBL[[#This Row],[Age]]&gt;=30, "Adult", "Young"))</f>
        <v>Adult</v>
      </c>
      <c r="J221" s="1">
        <v>44237</v>
      </c>
      <c r="K221">
        <f t="shared" si="3"/>
        <v>2021</v>
      </c>
      <c r="L221">
        <f>MONTH(TBL[[#This Row],[Hire Date]])</f>
        <v>2</v>
      </c>
      <c r="M221" s="7">
        <v>79882</v>
      </c>
      <c r="N221" s="8">
        <v>0</v>
      </c>
      <c r="O221" t="s">
        <v>19</v>
      </c>
      <c r="P221" t="s">
        <v>39</v>
      </c>
      <c r="Q221" s="1" t="s">
        <v>21</v>
      </c>
    </row>
    <row r="222" spans="1:17" x14ac:dyDescent="0.35">
      <c r="A222" t="s">
        <v>102</v>
      </c>
      <c r="B222" t="s">
        <v>763</v>
      </c>
      <c r="C222" t="s">
        <v>14</v>
      </c>
      <c r="D222" t="s">
        <v>31</v>
      </c>
      <c r="E222" t="s">
        <v>36</v>
      </c>
      <c r="F222" t="s">
        <v>17</v>
      </c>
      <c r="G222" t="s">
        <v>18</v>
      </c>
      <c r="H222">
        <v>30</v>
      </c>
      <c r="I222" t="str">
        <f>IF(TBL[[#This Row],[Age]]&gt;=60, "Old", IF(TBL[[#This Row],[Age]]&gt;=30, "Adult", "Young"))</f>
        <v>Adult</v>
      </c>
      <c r="J222" s="1">
        <v>43165</v>
      </c>
      <c r="K222">
        <f t="shared" si="3"/>
        <v>2018</v>
      </c>
      <c r="L222">
        <f>MONTH(TBL[[#This Row],[Hire Date]])</f>
        <v>3</v>
      </c>
      <c r="M222" s="7">
        <v>255431</v>
      </c>
      <c r="N222" s="8">
        <v>0.36</v>
      </c>
      <c r="O222" t="s">
        <v>19</v>
      </c>
      <c r="P222" t="s">
        <v>29</v>
      </c>
      <c r="Q222" s="1" t="s">
        <v>21</v>
      </c>
    </row>
    <row r="223" spans="1:17" x14ac:dyDescent="0.35">
      <c r="A223" t="s">
        <v>764</v>
      </c>
      <c r="B223" t="s">
        <v>765</v>
      </c>
      <c r="C223" t="s">
        <v>82</v>
      </c>
      <c r="D223" t="s">
        <v>27</v>
      </c>
      <c r="E223" t="s">
        <v>36</v>
      </c>
      <c r="F223" t="s">
        <v>17</v>
      </c>
      <c r="G223" t="s">
        <v>24</v>
      </c>
      <c r="H223">
        <v>48</v>
      </c>
      <c r="I223" t="str">
        <f>IF(TBL[[#This Row],[Age]]&gt;=60, "Old", IF(TBL[[#This Row],[Age]]&gt;=30, "Adult", "Young"))</f>
        <v>Adult</v>
      </c>
      <c r="J223" s="1">
        <v>37855</v>
      </c>
      <c r="K223">
        <f t="shared" si="3"/>
        <v>2003</v>
      </c>
      <c r="L223">
        <f>MONTH(TBL[[#This Row],[Hire Date]])</f>
        <v>8</v>
      </c>
      <c r="M223" s="7">
        <v>82017</v>
      </c>
      <c r="N223" s="8">
        <v>0</v>
      </c>
      <c r="O223" t="s">
        <v>33</v>
      </c>
      <c r="P223" t="s">
        <v>60</v>
      </c>
      <c r="Q223" s="1" t="s">
        <v>21</v>
      </c>
    </row>
    <row r="224" spans="1:17" x14ac:dyDescent="0.35">
      <c r="A224" t="s">
        <v>766</v>
      </c>
      <c r="B224" t="s">
        <v>767</v>
      </c>
      <c r="C224" t="s">
        <v>68</v>
      </c>
      <c r="D224" t="s">
        <v>15</v>
      </c>
      <c r="E224" t="s">
        <v>36</v>
      </c>
      <c r="F224" t="s">
        <v>17</v>
      </c>
      <c r="G224" t="s">
        <v>18</v>
      </c>
      <c r="H224">
        <v>51</v>
      </c>
      <c r="I224" t="str">
        <f>IF(TBL[[#This Row],[Age]]&gt;=60, "Old", IF(TBL[[#This Row],[Age]]&gt;=30, "Adult", "Young"))</f>
        <v>Adult</v>
      </c>
      <c r="J224" s="1">
        <v>42753</v>
      </c>
      <c r="K224">
        <f t="shared" si="3"/>
        <v>2017</v>
      </c>
      <c r="L224">
        <f>MONTH(TBL[[#This Row],[Hire Date]])</f>
        <v>1</v>
      </c>
      <c r="M224" s="7">
        <v>53799</v>
      </c>
      <c r="N224" s="8">
        <v>0</v>
      </c>
      <c r="O224" t="s">
        <v>19</v>
      </c>
      <c r="P224" t="s">
        <v>29</v>
      </c>
      <c r="Q224" s="1" t="s">
        <v>21</v>
      </c>
    </row>
    <row r="225" spans="1:17" x14ac:dyDescent="0.35">
      <c r="A225" t="s">
        <v>768</v>
      </c>
      <c r="B225" t="s">
        <v>769</v>
      </c>
      <c r="C225" t="s">
        <v>42</v>
      </c>
      <c r="D225" t="s">
        <v>50</v>
      </c>
      <c r="E225" t="s">
        <v>32</v>
      </c>
      <c r="F225" t="s">
        <v>17</v>
      </c>
      <c r="G225" t="s">
        <v>18</v>
      </c>
      <c r="H225">
        <v>28</v>
      </c>
      <c r="I225" t="str">
        <f>IF(TBL[[#This Row],[Age]]&gt;=60, "Old", IF(TBL[[#This Row],[Age]]&gt;=30, "Adult", "Young"))</f>
        <v>Young</v>
      </c>
      <c r="J225" s="1">
        <v>44380</v>
      </c>
      <c r="K225">
        <f t="shared" si="3"/>
        <v>2021</v>
      </c>
      <c r="L225">
        <f>MONTH(TBL[[#This Row],[Hire Date]])</f>
        <v>7</v>
      </c>
      <c r="M225" s="7">
        <v>82739</v>
      </c>
      <c r="N225" s="8">
        <v>0</v>
      </c>
      <c r="O225" t="s">
        <v>19</v>
      </c>
      <c r="P225" t="s">
        <v>39</v>
      </c>
      <c r="Q225" s="1" t="s">
        <v>21</v>
      </c>
    </row>
    <row r="226" spans="1:17" x14ac:dyDescent="0.35">
      <c r="A226" t="s">
        <v>770</v>
      </c>
      <c r="B226" t="s">
        <v>771</v>
      </c>
      <c r="C226" t="s">
        <v>38</v>
      </c>
      <c r="D226" t="s">
        <v>27</v>
      </c>
      <c r="E226" t="s">
        <v>36</v>
      </c>
      <c r="F226" t="s">
        <v>17</v>
      </c>
      <c r="G226" t="s">
        <v>18</v>
      </c>
      <c r="H226">
        <v>36</v>
      </c>
      <c r="I226" t="str">
        <f>IF(TBL[[#This Row],[Age]]&gt;=60, "Old", IF(TBL[[#This Row],[Age]]&gt;=30, "Adult", "Young"))</f>
        <v>Adult</v>
      </c>
      <c r="J226" s="1">
        <v>41789</v>
      </c>
      <c r="K226">
        <f t="shared" si="3"/>
        <v>2014</v>
      </c>
      <c r="L226">
        <f>MONTH(TBL[[#This Row],[Hire Date]])</f>
        <v>5</v>
      </c>
      <c r="M226" s="7">
        <v>99080</v>
      </c>
      <c r="N226" s="8">
        <v>0</v>
      </c>
      <c r="O226" t="s">
        <v>19</v>
      </c>
      <c r="P226" t="s">
        <v>20</v>
      </c>
      <c r="Q226" s="1" t="s">
        <v>21</v>
      </c>
    </row>
    <row r="227" spans="1:17" x14ac:dyDescent="0.35">
      <c r="A227" t="s">
        <v>772</v>
      </c>
      <c r="B227" t="s">
        <v>773</v>
      </c>
      <c r="C227" t="s">
        <v>49</v>
      </c>
      <c r="D227" t="s">
        <v>50</v>
      </c>
      <c r="E227" t="s">
        <v>32</v>
      </c>
      <c r="F227" t="s">
        <v>17</v>
      </c>
      <c r="G227" t="s">
        <v>24</v>
      </c>
      <c r="H227">
        <v>40</v>
      </c>
      <c r="I227" t="str">
        <f>IF(TBL[[#This Row],[Age]]&gt;=60, "Old", IF(TBL[[#This Row],[Age]]&gt;=30, "Adult", "Young"))</f>
        <v>Adult</v>
      </c>
      <c r="J227" s="1">
        <v>40563</v>
      </c>
      <c r="K227">
        <f t="shared" si="3"/>
        <v>2011</v>
      </c>
      <c r="L227">
        <f>MONTH(TBL[[#This Row],[Hire Date]])</f>
        <v>1</v>
      </c>
      <c r="M227" s="7">
        <v>96719</v>
      </c>
      <c r="N227" s="8">
        <v>0</v>
      </c>
      <c r="O227" t="s">
        <v>33</v>
      </c>
      <c r="P227" t="s">
        <v>34</v>
      </c>
      <c r="Q227" s="1" t="s">
        <v>21</v>
      </c>
    </row>
    <row r="228" spans="1:17" x14ac:dyDescent="0.35">
      <c r="A228" t="s">
        <v>774</v>
      </c>
      <c r="B228" t="s">
        <v>775</v>
      </c>
      <c r="C228" t="s">
        <v>40</v>
      </c>
      <c r="D228" t="s">
        <v>23</v>
      </c>
      <c r="E228" t="s">
        <v>16</v>
      </c>
      <c r="F228" t="s">
        <v>17</v>
      </c>
      <c r="G228" t="s">
        <v>18</v>
      </c>
      <c r="H228">
        <v>51</v>
      </c>
      <c r="I228" t="str">
        <f>IF(TBL[[#This Row],[Age]]&gt;=60, "Old", IF(TBL[[#This Row],[Age]]&gt;=30, "Adult", "Young"))</f>
        <v>Adult</v>
      </c>
      <c r="J228" s="1">
        <v>44283</v>
      </c>
      <c r="K228">
        <f t="shared" si="3"/>
        <v>2021</v>
      </c>
      <c r="L228">
        <f>MONTH(TBL[[#This Row],[Hire Date]])</f>
        <v>3</v>
      </c>
      <c r="M228" s="7">
        <v>180687</v>
      </c>
      <c r="N228" s="8">
        <v>0.19</v>
      </c>
      <c r="O228" t="s">
        <v>19</v>
      </c>
      <c r="P228" t="s">
        <v>39</v>
      </c>
      <c r="Q228" s="1" t="s">
        <v>21</v>
      </c>
    </row>
    <row r="229" spans="1:17" x14ac:dyDescent="0.35">
      <c r="A229" t="s">
        <v>251</v>
      </c>
      <c r="B229" t="s">
        <v>776</v>
      </c>
      <c r="C229" t="s">
        <v>97</v>
      </c>
      <c r="D229" t="s">
        <v>31</v>
      </c>
      <c r="E229" t="s">
        <v>32</v>
      </c>
      <c r="F229" t="s">
        <v>28</v>
      </c>
      <c r="G229" t="s">
        <v>24</v>
      </c>
      <c r="H229">
        <v>45</v>
      </c>
      <c r="I229" t="str">
        <f>IF(TBL[[#This Row],[Age]]&gt;=60, "Old", IF(TBL[[#This Row],[Age]]&gt;=30, "Adult", "Young"))</f>
        <v>Adult</v>
      </c>
      <c r="J229" s="1">
        <v>36993</v>
      </c>
      <c r="K229">
        <f t="shared" si="3"/>
        <v>2001</v>
      </c>
      <c r="L229">
        <f>MONTH(TBL[[#This Row],[Hire Date]])</f>
        <v>4</v>
      </c>
      <c r="M229" s="7">
        <v>95743</v>
      </c>
      <c r="N229" s="8">
        <v>0.15</v>
      </c>
      <c r="O229" t="s">
        <v>19</v>
      </c>
      <c r="P229" t="s">
        <v>25</v>
      </c>
      <c r="Q229" s="1">
        <v>40193</v>
      </c>
    </row>
    <row r="230" spans="1:17" x14ac:dyDescent="0.35">
      <c r="A230" t="s">
        <v>777</v>
      </c>
      <c r="B230" t="s">
        <v>778</v>
      </c>
      <c r="C230" t="s">
        <v>86</v>
      </c>
      <c r="D230" t="s">
        <v>31</v>
      </c>
      <c r="E230" t="s">
        <v>16</v>
      </c>
      <c r="F230" t="s">
        <v>17</v>
      </c>
      <c r="G230" t="s">
        <v>18</v>
      </c>
      <c r="H230">
        <v>44</v>
      </c>
      <c r="I230" t="str">
        <f>IF(TBL[[#This Row],[Age]]&gt;=60, "Old", IF(TBL[[#This Row],[Age]]&gt;=30, "Adult", "Young"))</f>
        <v>Adult</v>
      </c>
      <c r="J230" s="1">
        <v>40060</v>
      </c>
      <c r="K230">
        <f t="shared" si="3"/>
        <v>2009</v>
      </c>
      <c r="L230">
        <f>MONTH(TBL[[#This Row],[Hire Date]])</f>
        <v>9</v>
      </c>
      <c r="M230" s="7">
        <v>89695</v>
      </c>
      <c r="N230" s="8">
        <v>0</v>
      </c>
      <c r="O230" t="s">
        <v>19</v>
      </c>
      <c r="P230" t="s">
        <v>25</v>
      </c>
      <c r="Q230" s="1" t="s">
        <v>21</v>
      </c>
    </row>
    <row r="231" spans="1:17" x14ac:dyDescent="0.35">
      <c r="A231" t="s">
        <v>110</v>
      </c>
      <c r="B231" t="s">
        <v>779</v>
      </c>
      <c r="C231" t="s">
        <v>62</v>
      </c>
      <c r="D231" t="s">
        <v>15</v>
      </c>
      <c r="E231" t="s">
        <v>36</v>
      </c>
      <c r="F231" t="s">
        <v>28</v>
      </c>
      <c r="G231" t="s">
        <v>24</v>
      </c>
      <c r="H231">
        <v>64</v>
      </c>
      <c r="I231" t="str">
        <f>IF(TBL[[#This Row],[Age]]&gt;=60, "Old", IF(TBL[[#This Row],[Age]]&gt;=30, "Adult", "Young"))</f>
        <v>Old</v>
      </c>
      <c r="J231" s="1">
        <v>35996</v>
      </c>
      <c r="K231">
        <f t="shared" si="3"/>
        <v>1998</v>
      </c>
      <c r="L231">
        <f>MONTH(TBL[[#This Row],[Hire Date]])</f>
        <v>7</v>
      </c>
      <c r="M231" s="7">
        <v>122753</v>
      </c>
      <c r="N231" s="8">
        <v>0.09</v>
      </c>
      <c r="O231" t="s">
        <v>33</v>
      </c>
      <c r="P231" t="s">
        <v>80</v>
      </c>
      <c r="Q231" s="1" t="s">
        <v>21</v>
      </c>
    </row>
    <row r="232" spans="1:17" x14ac:dyDescent="0.35">
      <c r="A232" t="s">
        <v>780</v>
      </c>
      <c r="B232" t="s">
        <v>781</v>
      </c>
      <c r="C232" t="s">
        <v>77</v>
      </c>
      <c r="D232" t="s">
        <v>23</v>
      </c>
      <c r="E232" t="s">
        <v>16</v>
      </c>
      <c r="F232" t="s">
        <v>28</v>
      </c>
      <c r="G232" t="s">
        <v>18</v>
      </c>
      <c r="H232">
        <v>30</v>
      </c>
      <c r="I232" t="str">
        <f>IF(TBL[[#This Row],[Age]]&gt;=60, "Old", IF(TBL[[#This Row],[Age]]&gt;=30, "Adult", "Young"))</f>
        <v>Adult</v>
      </c>
      <c r="J232" s="1">
        <v>42078</v>
      </c>
      <c r="K232">
        <f t="shared" si="3"/>
        <v>2015</v>
      </c>
      <c r="L232">
        <f>MONTH(TBL[[#This Row],[Hire Date]])</f>
        <v>3</v>
      </c>
      <c r="M232" s="7">
        <v>93734</v>
      </c>
      <c r="N232" s="8">
        <v>0</v>
      </c>
      <c r="O232" t="s">
        <v>19</v>
      </c>
      <c r="P232" t="s">
        <v>39</v>
      </c>
      <c r="Q232" s="1" t="s">
        <v>21</v>
      </c>
    </row>
    <row r="233" spans="1:17" x14ac:dyDescent="0.35">
      <c r="A233" t="s">
        <v>167</v>
      </c>
      <c r="B233" t="s">
        <v>782</v>
      </c>
      <c r="C233" t="s">
        <v>68</v>
      </c>
      <c r="D233" t="s">
        <v>65</v>
      </c>
      <c r="E233" t="s">
        <v>32</v>
      </c>
      <c r="F233" t="s">
        <v>28</v>
      </c>
      <c r="G233" t="s">
        <v>24</v>
      </c>
      <c r="H233">
        <v>28</v>
      </c>
      <c r="I233" t="str">
        <f>IF(TBL[[#This Row],[Age]]&gt;=60, "Old", IF(TBL[[#This Row],[Age]]&gt;=30, "Adult", "Young"))</f>
        <v>Young</v>
      </c>
      <c r="J233" s="1">
        <v>42867</v>
      </c>
      <c r="K233">
        <f t="shared" si="3"/>
        <v>2017</v>
      </c>
      <c r="L233">
        <f>MONTH(TBL[[#This Row],[Hire Date]])</f>
        <v>5</v>
      </c>
      <c r="M233" s="7">
        <v>52069</v>
      </c>
      <c r="N233" s="8">
        <v>0</v>
      </c>
      <c r="O233" t="s">
        <v>33</v>
      </c>
      <c r="P233" t="s">
        <v>80</v>
      </c>
      <c r="Q233" s="1" t="s">
        <v>21</v>
      </c>
    </row>
    <row r="234" spans="1:17" x14ac:dyDescent="0.35">
      <c r="A234" t="s">
        <v>783</v>
      </c>
      <c r="B234" t="s">
        <v>784</v>
      </c>
      <c r="C234" t="s">
        <v>14</v>
      </c>
      <c r="D234" t="s">
        <v>65</v>
      </c>
      <c r="E234" t="s">
        <v>32</v>
      </c>
      <c r="F234" t="s">
        <v>17</v>
      </c>
      <c r="G234" t="s">
        <v>51</v>
      </c>
      <c r="H234">
        <v>33</v>
      </c>
      <c r="I234" t="str">
        <f>IF(TBL[[#This Row],[Age]]&gt;=60, "Old", IF(TBL[[#This Row],[Age]]&gt;=30, "Adult", "Young"))</f>
        <v>Adult</v>
      </c>
      <c r="J234" s="1">
        <v>44181</v>
      </c>
      <c r="K234">
        <f t="shared" si="3"/>
        <v>2020</v>
      </c>
      <c r="L234">
        <f>MONTH(TBL[[#This Row],[Hire Date]])</f>
        <v>12</v>
      </c>
      <c r="M234" s="7">
        <v>258426</v>
      </c>
      <c r="N234" s="8">
        <v>0.4</v>
      </c>
      <c r="O234" t="s">
        <v>52</v>
      </c>
      <c r="P234" t="s">
        <v>66</v>
      </c>
      <c r="Q234" s="1" t="s">
        <v>21</v>
      </c>
    </row>
    <row r="235" spans="1:17" x14ac:dyDescent="0.35">
      <c r="A235" t="s">
        <v>785</v>
      </c>
      <c r="B235" t="s">
        <v>786</v>
      </c>
      <c r="C235" t="s">
        <v>62</v>
      </c>
      <c r="D235" t="s">
        <v>15</v>
      </c>
      <c r="E235" t="s">
        <v>44</v>
      </c>
      <c r="F235" t="s">
        <v>28</v>
      </c>
      <c r="G235" t="s">
        <v>47</v>
      </c>
      <c r="H235">
        <v>51</v>
      </c>
      <c r="I235" t="str">
        <f>IF(TBL[[#This Row],[Age]]&gt;=60, "Old", IF(TBL[[#This Row],[Age]]&gt;=30, "Adult", "Young"))</f>
        <v>Adult</v>
      </c>
      <c r="J235" s="1">
        <v>34746</v>
      </c>
      <c r="K235">
        <f t="shared" si="3"/>
        <v>1995</v>
      </c>
      <c r="L235">
        <f>MONTH(TBL[[#This Row],[Hire Date]])</f>
        <v>2</v>
      </c>
      <c r="M235" s="7">
        <v>125375</v>
      </c>
      <c r="N235" s="8">
        <v>0.09</v>
      </c>
      <c r="O235" t="s">
        <v>19</v>
      </c>
      <c r="P235" t="s">
        <v>20</v>
      </c>
      <c r="Q235" s="1" t="s">
        <v>21</v>
      </c>
    </row>
    <row r="236" spans="1:17" x14ac:dyDescent="0.35">
      <c r="A236" t="s">
        <v>787</v>
      </c>
      <c r="B236" t="s">
        <v>788</v>
      </c>
      <c r="C236" t="s">
        <v>14</v>
      </c>
      <c r="D236" t="s">
        <v>65</v>
      </c>
      <c r="E236" t="s">
        <v>36</v>
      </c>
      <c r="F236" t="s">
        <v>28</v>
      </c>
      <c r="G236" t="s">
        <v>24</v>
      </c>
      <c r="H236">
        <v>25</v>
      </c>
      <c r="I236" t="str">
        <f>IF(TBL[[#This Row],[Age]]&gt;=60, "Old", IF(TBL[[#This Row],[Age]]&gt;=30, "Adult", "Young"))</f>
        <v>Young</v>
      </c>
      <c r="J236" s="1">
        <v>44235</v>
      </c>
      <c r="K236">
        <f t="shared" si="3"/>
        <v>2021</v>
      </c>
      <c r="L236">
        <f>MONTH(TBL[[#This Row],[Hire Date]])</f>
        <v>2</v>
      </c>
      <c r="M236" s="7">
        <v>198243</v>
      </c>
      <c r="N236" s="8">
        <v>0.31</v>
      </c>
      <c r="O236" t="s">
        <v>19</v>
      </c>
      <c r="P236" t="s">
        <v>45</v>
      </c>
      <c r="Q236" s="1" t="s">
        <v>21</v>
      </c>
    </row>
    <row r="237" spans="1:17" x14ac:dyDescent="0.35">
      <c r="A237" t="s">
        <v>789</v>
      </c>
      <c r="B237" t="s">
        <v>790</v>
      </c>
      <c r="C237" t="s">
        <v>58</v>
      </c>
      <c r="D237" t="s">
        <v>31</v>
      </c>
      <c r="E237" t="s">
        <v>16</v>
      </c>
      <c r="F237" t="s">
        <v>17</v>
      </c>
      <c r="G237" t="s">
        <v>51</v>
      </c>
      <c r="H237">
        <v>42</v>
      </c>
      <c r="I237" t="str">
        <f>IF(TBL[[#This Row],[Age]]&gt;=60, "Old", IF(TBL[[#This Row],[Age]]&gt;=30, "Adult", "Young"))</f>
        <v>Adult</v>
      </c>
      <c r="J237" s="1">
        <v>43062</v>
      </c>
      <c r="K237">
        <f t="shared" si="3"/>
        <v>2017</v>
      </c>
      <c r="L237">
        <f>MONTH(TBL[[#This Row],[Hire Date]])</f>
        <v>11</v>
      </c>
      <c r="M237" s="7">
        <v>96023</v>
      </c>
      <c r="N237" s="8">
        <v>0</v>
      </c>
      <c r="O237" t="s">
        <v>19</v>
      </c>
      <c r="P237" t="s">
        <v>45</v>
      </c>
      <c r="Q237" s="1" t="s">
        <v>21</v>
      </c>
    </row>
    <row r="238" spans="1:17" x14ac:dyDescent="0.35">
      <c r="A238" t="s">
        <v>205</v>
      </c>
      <c r="B238" t="s">
        <v>791</v>
      </c>
      <c r="C238" t="s">
        <v>42</v>
      </c>
      <c r="D238" t="s">
        <v>43</v>
      </c>
      <c r="E238" t="s">
        <v>16</v>
      </c>
      <c r="F238" t="s">
        <v>17</v>
      </c>
      <c r="G238" t="s">
        <v>18</v>
      </c>
      <c r="H238">
        <v>34</v>
      </c>
      <c r="I238" t="str">
        <f>IF(TBL[[#This Row],[Age]]&gt;=60, "Old", IF(TBL[[#This Row],[Age]]&gt;=30, "Adult", "Young"))</f>
        <v>Adult</v>
      </c>
      <c r="J238" s="1">
        <v>41085</v>
      </c>
      <c r="K238">
        <f t="shared" si="3"/>
        <v>2012</v>
      </c>
      <c r="L238">
        <f>MONTH(TBL[[#This Row],[Hire Date]])</f>
        <v>6</v>
      </c>
      <c r="M238" s="7">
        <v>83066</v>
      </c>
      <c r="N238" s="8">
        <v>0</v>
      </c>
      <c r="O238" t="s">
        <v>19</v>
      </c>
      <c r="P238" t="s">
        <v>20</v>
      </c>
      <c r="Q238" s="1">
        <v>41430</v>
      </c>
    </row>
    <row r="239" spans="1:17" x14ac:dyDescent="0.35">
      <c r="A239" t="s">
        <v>792</v>
      </c>
      <c r="B239" t="s">
        <v>793</v>
      </c>
      <c r="C239" t="s">
        <v>64</v>
      </c>
      <c r="D239" t="s">
        <v>50</v>
      </c>
      <c r="E239" t="s">
        <v>16</v>
      </c>
      <c r="F239" t="s">
        <v>17</v>
      </c>
      <c r="G239" t="s">
        <v>51</v>
      </c>
      <c r="H239">
        <v>48</v>
      </c>
      <c r="I239" t="str">
        <f>IF(TBL[[#This Row],[Age]]&gt;=60, "Old", IF(TBL[[#This Row],[Age]]&gt;=30, "Adult", "Young"))</f>
        <v>Adult</v>
      </c>
      <c r="J239" s="1">
        <v>41773</v>
      </c>
      <c r="K239">
        <f t="shared" si="3"/>
        <v>2014</v>
      </c>
      <c r="L239">
        <f>MONTH(TBL[[#This Row],[Hire Date]])</f>
        <v>5</v>
      </c>
      <c r="M239" s="7">
        <v>61216</v>
      </c>
      <c r="N239" s="8">
        <v>0</v>
      </c>
      <c r="O239" t="s">
        <v>19</v>
      </c>
      <c r="P239" t="s">
        <v>63</v>
      </c>
      <c r="Q239" s="1" t="s">
        <v>21</v>
      </c>
    </row>
    <row r="240" spans="1:17" x14ac:dyDescent="0.35">
      <c r="A240" t="s">
        <v>345</v>
      </c>
      <c r="B240" t="s">
        <v>794</v>
      </c>
      <c r="C240" t="s">
        <v>61</v>
      </c>
      <c r="D240" t="s">
        <v>65</v>
      </c>
      <c r="E240" t="s">
        <v>32</v>
      </c>
      <c r="F240" t="s">
        <v>28</v>
      </c>
      <c r="G240" t="s">
        <v>18</v>
      </c>
      <c r="H240">
        <v>33</v>
      </c>
      <c r="I240" t="str">
        <f>IF(TBL[[#This Row],[Age]]&gt;=60, "Old", IF(TBL[[#This Row],[Age]]&gt;=30, "Adult", "Young"))</f>
        <v>Adult</v>
      </c>
      <c r="J240" s="1">
        <v>41315</v>
      </c>
      <c r="K240">
        <f t="shared" si="3"/>
        <v>2013</v>
      </c>
      <c r="L240">
        <f>MONTH(TBL[[#This Row],[Hire Date]])</f>
        <v>2</v>
      </c>
      <c r="M240" s="7">
        <v>144231</v>
      </c>
      <c r="N240" s="8">
        <v>0.14000000000000001</v>
      </c>
      <c r="O240" t="s">
        <v>19</v>
      </c>
      <c r="P240" t="s">
        <v>29</v>
      </c>
      <c r="Q240" s="1">
        <v>44029</v>
      </c>
    </row>
    <row r="241" spans="1:17" x14ac:dyDescent="0.35">
      <c r="A241" t="s">
        <v>795</v>
      </c>
      <c r="B241" t="s">
        <v>796</v>
      </c>
      <c r="C241" t="s">
        <v>22</v>
      </c>
      <c r="D241" t="s">
        <v>23</v>
      </c>
      <c r="E241" t="s">
        <v>16</v>
      </c>
      <c r="F241" t="s">
        <v>28</v>
      </c>
      <c r="G241" t="s">
        <v>24</v>
      </c>
      <c r="H241">
        <v>41</v>
      </c>
      <c r="I241" t="str">
        <f>IF(TBL[[#This Row],[Age]]&gt;=60, "Old", IF(TBL[[#This Row],[Age]]&gt;=30, "Adult", "Young"))</f>
        <v>Adult</v>
      </c>
      <c r="J241" s="1">
        <v>39379</v>
      </c>
      <c r="K241">
        <f t="shared" si="3"/>
        <v>2007</v>
      </c>
      <c r="L241">
        <f>MONTH(TBL[[#This Row],[Hire Date]])</f>
        <v>10</v>
      </c>
      <c r="M241" s="7">
        <v>51630</v>
      </c>
      <c r="N241" s="8">
        <v>0</v>
      </c>
      <c r="O241" t="s">
        <v>33</v>
      </c>
      <c r="P241" t="s">
        <v>60</v>
      </c>
      <c r="Q241" s="1" t="s">
        <v>21</v>
      </c>
    </row>
    <row r="242" spans="1:17" x14ac:dyDescent="0.35">
      <c r="A242" t="s">
        <v>797</v>
      </c>
      <c r="B242" t="s">
        <v>798</v>
      </c>
      <c r="C242" t="s">
        <v>61</v>
      </c>
      <c r="D242" t="s">
        <v>50</v>
      </c>
      <c r="E242" t="s">
        <v>32</v>
      </c>
      <c r="F242" t="s">
        <v>28</v>
      </c>
      <c r="G242" t="s">
        <v>51</v>
      </c>
      <c r="H242">
        <v>55</v>
      </c>
      <c r="I242" t="str">
        <f>IF(TBL[[#This Row],[Age]]&gt;=60, "Old", IF(TBL[[#This Row],[Age]]&gt;=30, "Adult", "Young"))</f>
        <v>Adult</v>
      </c>
      <c r="J242" s="1">
        <v>41594</v>
      </c>
      <c r="K242">
        <f t="shared" si="3"/>
        <v>2013</v>
      </c>
      <c r="L242">
        <f>MONTH(TBL[[#This Row],[Hire Date]])</f>
        <v>11</v>
      </c>
      <c r="M242" s="7">
        <v>124129</v>
      </c>
      <c r="N242" s="8">
        <v>0.15</v>
      </c>
      <c r="O242" t="s">
        <v>52</v>
      </c>
      <c r="P242" t="s">
        <v>53</v>
      </c>
      <c r="Q242" s="1" t="s">
        <v>21</v>
      </c>
    </row>
    <row r="243" spans="1:17" x14ac:dyDescent="0.35">
      <c r="A243" t="s">
        <v>96</v>
      </c>
      <c r="B243" t="s">
        <v>799</v>
      </c>
      <c r="C243" t="s">
        <v>58</v>
      </c>
      <c r="D243" t="s">
        <v>31</v>
      </c>
      <c r="E243" t="s">
        <v>36</v>
      </c>
      <c r="F243" t="s">
        <v>28</v>
      </c>
      <c r="G243" t="s">
        <v>51</v>
      </c>
      <c r="H243">
        <v>36</v>
      </c>
      <c r="I243" t="str">
        <f>IF(TBL[[#This Row],[Age]]&gt;=60, "Old", IF(TBL[[#This Row],[Age]]&gt;=30, "Adult", "Young"))</f>
        <v>Adult</v>
      </c>
      <c r="J243" s="1">
        <v>39912</v>
      </c>
      <c r="K243">
        <f t="shared" si="3"/>
        <v>2009</v>
      </c>
      <c r="L243">
        <f>MONTH(TBL[[#This Row],[Hire Date]])</f>
        <v>4</v>
      </c>
      <c r="M243" s="7">
        <v>60055</v>
      </c>
      <c r="N243" s="8">
        <v>0</v>
      </c>
      <c r="O243" t="s">
        <v>19</v>
      </c>
      <c r="P243" t="s">
        <v>63</v>
      </c>
      <c r="Q243" s="1" t="s">
        <v>21</v>
      </c>
    </row>
    <row r="244" spans="1:17" x14ac:dyDescent="0.35">
      <c r="A244" t="s">
        <v>108</v>
      </c>
      <c r="B244" t="s">
        <v>800</v>
      </c>
      <c r="C244" t="s">
        <v>40</v>
      </c>
      <c r="D244" t="s">
        <v>31</v>
      </c>
      <c r="E244" t="s">
        <v>16</v>
      </c>
      <c r="F244" t="s">
        <v>28</v>
      </c>
      <c r="G244" t="s">
        <v>51</v>
      </c>
      <c r="H244">
        <v>31</v>
      </c>
      <c r="I244" t="str">
        <f>IF(TBL[[#This Row],[Age]]&gt;=60, "Old", IF(TBL[[#This Row],[Age]]&gt;=30, "Adult", "Young"))</f>
        <v>Adult</v>
      </c>
      <c r="J244" s="1">
        <v>44069</v>
      </c>
      <c r="K244">
        <f t="shared" si="3"/>
        <v>2020</v>
      </c>
      <c r="L244">
        <f>MONTH(TBL[[#This Row],[Hire Date]])</f>
        <v>8</v>
      </c>
      <c r="M244" s="7">
        <v>189290</v>
      </c>
      <c r="N244" s="8">
        <v>0.22</v>
      </c>
      <c r="O244" t="s">
        <v>52</v>
      </c>
      <c r="P244" t="s">
        <v>53</v>
      </c>
      <c r="Q244" s="1">
        <v>44099</v>
      </c>
    </row>
    <row r="245" spans="1:17" x14ac:dyDescent="0.35">
      <c r="A245" t="s">
        <v>801</v>
      </c>
      <c r="B245" t="s">
        <v>802</v>
      </c>
      <c r="C245" t="s">
        <v>14</v>
      </c>
      <c r="D245" t="s">
        <v>27</v>
      </c>
      <c r="E245" t="s">
        <v>32</v>
      </c>
      <c r="F245" t="s">
        <v>17</v>
      </c>
      <c r="G245" t="s">
        <v>24</v>
      </c>
      <c r="H245">
        <v>53</v>
      </c>
      <c r="I245" t="str">
        <f>IF(TBL[[#This Row],[Age]]&gt;=60, "Old", IF(TBL[[#This Row],[Age]]&gt;=30, "Adult", "Young"))</f>
        <v>Adult</v>
      </c>
      <c r="J245" s="1">
        <v>39568</v>
      </c>
      <c r="K245">
        <f t="shared" si="3"/>
        <v>2008</v>
      </c>
      <c r="L245">
        <f>MONTH(TBL[[#This Row],[Hire Date]])</f>
        <v>4</v>
      </c>
      <c r="M245" s="7">
        <v>182202</v>
      </c>
      <c r="N245" s="8">
        <v>0.3</v>
      </c>
      <c r="O245" t="s">
        <v>19</v>
      </c>
      <c r="P245" t="s">
        <v>25</v>
      </c>
      <c r="Q245" s="1" t="s">
        <v>21</v>
      </c>
    </row>
    <row r="246" spans="1:17" x14ac:dyDescent="0.35">
      <c r="A246" t="s">
        <v>803</v>
      </c>
      <c r="B246" t="s">
        <v>804</v>
      </c>
      <c r="C246" t="s">
        <v>62</v>
      </c>
      <c r="D246" t="s">
        <v>50</v>
      </c>
      <c r="E246" t="s">
        <v>44</v>
      </c>
      <c r="F246" t="s">
        <v>28</v>
      </c>
      <c r="G246" t="s">
        <v>18</v>
      </c>
      <c r="H246">
        <v>43</v>
      </c>
      <c r="I246" t="str">
        <f>IF(TBL[[#This Row],[Age]]&gt;=60, "Old", IF(TBL[[#This Row],[Age]]&gt;=30, "Adult", "Young"))</f>
        <v>Adult</v>
      </c>
      <c r="J246" s="1">
        <v>38748</v>
      </c>
      <c r="K246">
        <f t="shared" si="3"/>
        <v>2006</v>
      </c>
      <c r="L246">
        <f>MONTH(TBL[[#This Row],[Hire Date]])</f>
        <v>1</v>
      </c>
      <c r="M246" s="7">
        <v>117518</v>
      </c>
      <c r="N246" s="8">
        <v>7.0000000000000007E-2</v>
      </c>
      <c r="O246" t="s">
        <v>19</v>
      </c>
      <c r="P246" t="s">
        <v>63</v>
      </c>
      <c r="Q246" s="1" t="s">
        <v>21</v>
      </c>
    </row>
    <row r="247" spans="1:17" x14ac:dyDescent="0.35">
      <c r="A247" t="s">
        <v>805</v>
      </c>
      <c r="B247" t="s">
        <v>806</v>
      </c>
      <c r="C247" t="s">
        <v>61</v>
      </c>
      <c r="D247" t="s">
        <v>15</v>
      </c>
      <c r="E247" t="s">
        <v>36</v>
      </c>
      <c r="F247" t="s">
        <v>17</v>
      </c>
      <c r="G247" t="s">
        <v>51</v>
      </c>
      <c r="H247">
        <v>37</v>
      </c>
      <c r="I247" t="str">
        <f>IF(TBL[[#This Row],[Age]]&gt;=60, "Old", IF(TBL[[#This Row],[Age]]&gt;=30, "Adult", "Young"))</f>
        <v>Adult</v>
      </c>
      <c r="J247" s="1">
        <v>41329</v>
      </c>
      <c r="K247">
        <f t="shared" si="3"/>
        <v>2013</v>
      </c>
      <c r="L247">
        <f>MONTH(TBL[[#This Row],[Hire Date]])</f>
        <v>2</v>
      </c>
      <c r="M247" s="7">
        <v>157474</v>
      </c>
      <c r="N247" s="8">
        <v>0.11</v>
      </c>
      <c r="O247" t="s">
        <v>52</v>
      </c>
      <c r="P247" t="s">
        <v>66</v>
      </c>
      <c r="Q247" s="1" t="s">
        <v>21</v>
      </c>
    </row>
    <row r="248" spans="1:17" x14ac:dyDescent="0.35">
      <c r="A248" t="s">
        <v>807</v>
      </c>
      <c r="B248" t="s">
        <v>808</v>
      </c>
      <c r="C248" t="s">
        <v>62</v>
      </c>
      <c r="D248" t="s">
        <v>43</v>
      </c>
      <c r="E248" t="s">
        <v>36</v>
      </c>
      <c r="F248" t="s">
        <v>28</v>
      </c>
      <c r="G248" t="s">
        <v>18</v>
      </c>
      <c r="H248">
        <v>38</v>
      </c>
      <c r="I248" t="str">
        <f>IF(TBL[[#This Row],[Age]]&gt;=60, "Old", IF(TBL[[#This Row],[Age]]&gt;=30, "Adult", "Young"))</f>
        <v>Adult</v>
      </c>
      <c r="J248" s="1">
        <v>39544</v>
      </c>
      <c r="K248">
        <f t="shared" si="3"/>
        <v>2008</v>
      </c>
      <c r="L248">
        <f>MONTH(TBL[[#This Row],[Hire Date]])</f>
        <v>4</v>
      </c>
      <c r="M248" s="7">
        <v>126856</v>
      </c>
      <c r="N248" s="8">
        <v>0.06</v>
      </c>
      <c r="O248" t="s">
        <v>19</v>
      </c>
      <c r="P248" t="s">
        <v>29</v>
      </c>
      <c r="Q248" s="1" t="s">
        <v>21</v>
      </c>
    </row>
    <row r="249" spans="1:17" x14ac:dyDescent="0.35">
      <c r="A249" t="s">
        <v>809</v>
      </c>
      <c r="B249" t="s">
        <v>810</v>
      </c>
      <c r="C249" t="s">
        <v>61</v>
      </c>
      <c r="D249" t="s">
        <v>65</v>
      </c>
      <c r="E249" t="s">
        <v>36</v>
      </c>
      <c r="F249" t="s">
        <v>17</v>
      </c>
      <c r="G249" t="s">
        <v>24</v>
      </c>
      <c r="H249">
        <v>49</v>
      </c>
      <c r="I249" t="str">
        <f>IF(TBL[[#This Row],[Age]]&gt;=60, "Old", IF(TBL[[#This Row],[Age]]&gt;=30, "Adult", "Young"))</f>
        <v>Adult</v>
      </c>
      <c r="J249" s="1">
        <v>36983</v>
      </c>
      <c r="K249">
        <f t="shared" si="3"/>
        <v>2001</v>
      </c>
      <c r="L249">
        <f>MONTH(TBL[[#This Row],[Hire Date]])</f>
        <v>4</v>
      </c>
      <c r="M249" s="7">
        <v>129124</v>
      </c>
      <c r="N249" s="8">
        <v>0.12</v>
      </c>
      <c r="O249" t="s">
        <v>33</v>
      </c>
      <c r="P249" t="s">
        <v>74</v>
      </c>
      <c r="Q249" s="1" t="s">
        <v>21</v>
      </c>
    </row>
    <row r="250" spans="1:17" x14ac:dyDescent="0.35">
      <c r="A250" t="s">
        <v>811</v>
      </c>
      <c r="B250" t="s">
        <v>812</v>
      </c>
      <c r="C250" t="s">
        <v>40</v>
      </c>
      <c r="D250" t="s">
        <v>50</v>
      </c>
      <c r="E250" t="s">
        <v>16</v>
      </c>
      <c r="F250" t="s">
        <v>17</v>
      </c>
      <c r="G250" t="s">
        <v>24</v>
      </c>
      <c r="H250">
        <v>45</v>
      </c>
      <c r="I250" t="str">
        <f>IF(TBL[[#This Row],[Age]]&gt;=60, "Old", IF(TBL[[#This Row],[Age]]&gt;=30, "Adult", "Young"))</f>
        <v>Adult</v>
      </c>
      <c r="J250" s="1">
        <v>37316</v>
      </c>
      <c r="K250">
        <f t="shared" si="3"/>
        <v>2002</v>
      </c>
      <c r="L250">
        <f>MONTH(TBL[[#This Row],[Hire Date]])</f>
        <v>3</v>
      </c>
      <c r="M250" s="7">
        <v>165181</v>
      </c>
      <c r="N250" s="8">
        <v>0.16</v>
      </c>
      <c r="O250" t="s">
        <v>19</v>
      </c>
      <c r="P250" t="s">
        <v>63</v>
      </c>
      <c r="Q250" s="1" t="s">
        <v>21</v>
      </c>
    </row>
    <row r="251" spans="1:17" x14ac:dyDescent="0.35">
      <c r="A251" t="s">
        <v>813</v>
      </c>
      <c r="B251" t="s">
        <v>814</v>
      </c>
      <c r="C251" t="s">
        <v>14</v>
      </c>
      <c r="D251" t="s">
        <v>15</v>
      </c>
      <c r="E251" t="s">
        <v>32</v>
      </c>
      <c r="F251" t="s">
        <v>28</v>
      </c>
      <c r="G251" t="s">
        <v>51</v>
      </c>
      <c r="H251">
        <v>50</v>
      </c>
      <c r="I251" t="str">
        <f>IF(TBL[[#This Row],[Age]]&gt;=60, "Old", IF(TBL[[#This Row],[Age]]&gt;=30, "Adult", "Young"))</f>
        <v>Adult</v>
      </c>
      <c r="J251" s="1">
        <v>38004</v>
      </c>
      <c r="K251">
        <f t="shared" si="3"/>
        <v>2004</v>
      </c>
      <c r="L251">
        <f>MONTH(TBL[[#This Row],[Hire Date]])</f>
        <v>1</v>
      </c>
      <c r="M251" s="7">
        <v>247939</v>
      </c>
      <c r="N251" s="8">
        <v>0.35</v>
      </c>
      <c r="O251" t="s">
        <v>52</v>
      </c>
      <c r="P251" t="s">
        <v>66</v>
      </c>
      <c r="Q251" s="1" t="s">
        <v>21</v>
      </c>
    </row>
    <row r="252" spans="1:17" x14ac:dyDescent="0.35">
      <c r="A252" t="s">
        <v>815</v>
      </c>
      <c r="B252" t="s">
        <v>816</v>
      </c>
      <c r="C252" t="s">
        <v>40</v>
      </c>
      <c r="D252" t="s">
        <v>31</v>
      </c>
      <c r="E252" t="s">
        <v>44</v>
      </c>
      <c r="F252" t="s">
        <v>28</v>
      </c>
      <c r="G252" t="s">
        <v>51</v>
      </c>
      <c r="H252">
        <v>64</v>
      </c>
      <c r="I252" t="str">
        <f>IF(TBL[[#This Row],[Age]]&gt;=60, "Old", IF(TBL[[#This Row],[Age]]&gt;=30, "Adult", "Young"))</f>
        <v>Old</v>
      </c>
      <c r="J252" s="1">
        <v>42972</v>
      </c>
      <c r="K252">
        <f t="shared" si="3"/>
        <v>2017</v>
      </c>
      <c r="L252">
        <f>MONTH(TBL[[#This Row],[Hire Date]])</f>
        <v>8</v>
      </c>
      <c r="M252" s="7">
        <v>169509</v>
      </c>
      <c r="N252" s="8">
        <v>0.18</v>
      </c>
      <c r="O252" t="s">
        <v>52</v>
      </c>
      <c r="P252" t="s">
        <v>81</v>
      </c>
      <c r="Q252" s="1" t="s">
        <v>21</v>
      </c>
    </row>
    <row r="253" spans="1:17" x14ac:dyDescent="0.35">
      <c r="A253" t="s">
        <v>817</v>
      </c>
      <c r="B253" t="s">
        <v>818</v>
      </c>
      <c r="C253" t="s">
        <v>61</v>
      </c>
      <c r="D253" t="s">
        <v>65</v>
      </c>
      <c r="E253" t="s">
        <v>36</v>
      </c>
      <c r="F253" t="s">
        <v>17</v>
      </c>
      <c r="G253" t="s">
        <v>18</v>
      </c>
      <c r="H253">
        <v>55</v>
      </c>
      <c r="I253" t="str">
        <f>IF(TBL[[#This Row],[Age]]&gt;=60, "Old", IF(TBL[[#This Row],[Age]]&gt;=30, "Adult", "Young"))</f>
        <v>Adult</v>
      </c>
      <c r="J253" s="1">
        <v>40552</v>
      </c>
      <c r="K253">
        <f t="shared" si="3"/>
        <v>2011</v>
      </c>
      <c r="L253">
        <f>MONTH(TBL[[#This Row],[Hire Date]])</f>
        <v>1</v>
      </c>
      <c r="M253" s="7">
        <v>138521</v>
      </c>
      <c r="N253" s="8">
        <v>0.1</v>
      </c>
      <c r="O253" t="s">
        <v>19</v>
      </c>
      <c r="P253" t="s">
        <v>45</v>
      </c>
      <c r="Q253" s="1" t="s">
        <v>21</v>
      </c>
    </row>
    <row r="254" spans="1:17" x14ac:dyDescent="0.35">
      <c r="A254" t="s">
        <v>819</v>
      </c>
      <c r="B254" t="s">
        <v>820</v>
      </c>
      <c r="C254" t="s">
        <v>97</v>
      </c>
      <c r="D254" t="s">
        <v>31</v>
      </c>
      <c r="E254" t="s">
        <v>44</v>
      </c>
      <c r="F254" t="s">
        <v>17</v>
      </c>
      <c r="G254" t="s">
        <v>51</v>
      </c>
      <c r="H254">
        <v>45</v>
      </c>
      <c r="I254" t="str">
        <f>IF(TBL[[#This Row],[Age]]&gt;=60, "Old", IF(TBL[[#This Row],[Age]]&gt;=30, "Adult", "Young"))</f>
        <v>Adult</v>
      </c>
      <c r="J254" s="1">
        <v>41712</v>
      </c>
      <c r="K254">
        <f t="shared" si="3"/>
        <v>2014</v>
      </c>
      <c r="L254">
        <f>MONTH(TBL[[#This Row],[Hire Date]])</f>
        <v>3</v>
      </c>
      <c r="M254" s="7">
        <v>113873</v>
      </c>
      <c r="N254" s="8">
        <v>0.11</v>
      </c>
      <c r="O254" t="s">
        <v>52</v>
      </c>
      <c r="P254" t="s">
        <v>66</v>
      </c>
      <c r="Q254" s="1" t="s">
        <v>21</v>
      </c>
    </row>
    <row r="255" spans="1:17" x14ac:dyDescent="0.35">
      <c r="A255" t="s">
        <v>157</v>
      </c>
      <c r="B255" t="s">
        <v>821</v>
      </c>
      <c r="C255" t="s">
        <v>26</v>
      </c>
      <c r="D255" t="s">
        <v>27</v>
      </c>
      <c r="E255" t="s">
        <v>32</v>
      </c>
      <c r="F255" t="s">
        <v>17</v>
      </c>
      <c r="G255" t="s">
        <v>47</v>
      </c>
      <c r="H255">
        <v>39</v>
      </c>
      <c r="I255" t="str">
        <f>IF(TBL[[#This Row],[Age]]&gt;=60, "Old", IF(TBL[[#This Row],[Age]]&gt;=30, "Adult", "Young"))</f>
        <v>Adult</v>
      </c>
      <c r="J255" s="1">
        <v>43229</v>
      </c>
      <c r="K255">
        <f t="shared" si="3"/>
        <v>2018</v>
      </c>
      <c r="L255">
        <f>MONTH(TBL[[#This Row],[Hire Date]])</f>
        <v>5</v>
      </c>
      <c r="M255" s="7">
        <v>73317</v>
      </c>
      <c r="N255" s="8">
        <v>0</v>
      </c>
      <c r="O255" t="s">
        <v>19</v>
      </c>
      <c r="P255" t="s">
        <v>45</v>
      </c>
      <c r="Q255" s="1" t="s">
        <v>21</v>
      </c>
    </row>
    <row r="256" spans="1:17" x14ac:dyDescent="0.35">
      <c r="A256" t="s">
        <v>822</v>
      </c>
      <c r="B256" t="s">
        <v>823</v>
      </c>
      <c r="C256" t="s">
        <v>82</v>
      </c>
      <c r="D256" t="s">
        <v>27</v>
      </c>
      <c r="E256" t="s">
        <v>44</v>
      </c>
      <c r="F256" t="s">
        <v>17</v>
      </c>
      <c r="G256" t="s">
        <v>24</v>
      </c>
      <c r="H256">
        <v>40</v>
      </c>
      <c r="I256" t="str">
        <f>IF(TBL[[#This Row],[Age]]&gt;=60, "Old", IF(TBL[[#This Row],[Age]]&gt;=30, "Adult", "Young"))</f>
        <v>Adult</v>
      </c>
      <c r="J256" s="1">
        <v>41451</v>
      </c>
      <c r="K256">
        <f t="shared" si="3"/>
        <v>2013</v>
      </c>
      <c r="L256">
        <f>MONTH(TBL[[#This Row],[Hire Date]])</f>
        <v>6</v>
      </c>
      <c r="M256" s="7">
        <v>69096</v>
      </c>
      <c r="N256" s="8">
        <v>0</v>
      </c>
      <c r="O256" t="s">
        <v>19</v>
      </c>
      <c r="P256" t="s">
        <v>63</v>
      </c>
      <c r="Q256" s="1" t="s">
        <v>21</v>
      </c>
    </row>
    <row r="257" spans="1:17" x14ac:dyDescent="0.35">
      <c r="A257" t="s">
        <v>824</v>
      </c>
      <c r="B257" t="s">
        <v>825</v>
      </c>
      <c r="C257" t="s">
        <v>77</v>
      </c>
      <c r="D257" t="s">
        <v>23</v>
      </c>
      <c r="E257" t="s">
        <v>36</v>
      </c>
      <c r="F257" t="s">
        <v>28</v>
      </c>
      <c r="G257" t="s">
        <v>51</v>
      </c>
      <c r="H257">
        <v>48</v>
      </c>
      <c r="I257" t="str">
        <f>IF(TBL[[#This Row],[Age]]&gt;=60, "Old", IF(TBL[[#This Row],[Age]]&gt;=30, "Adult", "Young"))</f>
        <v>Adult</v>
      </c>
      <c r="J257" s="1">
        <v>38454</v>
      </c>
      <c r="K257">
        <f t="shared" si="3"/>
        <v>2005</v>
      </c>
      <c r="L257">
        <f>MONTH(TBL[[#This Row],[Hire Date]])</f>
        <v>4</v>
      </c>
      <c r="M257" s="7">
        <v>87158</v>
      </c>
      <c r="N257" s="8">
        <v>0</v>
      </c>
      <c r="O257" t="s">
        <v>52</v>
      </c>
      <c r="P257" t="s">
        <v>81</v>
      </c>
      <c r="Q257" s="1" t="s">
        <v>21</v>
      </c>
    </row>
    <row r="258" spans="1:17" x14ac:dyDescent="0.35">
      <c r="A258" t="s">
        <v>826</v>
      </c>
      <c r="B258" t="s">
        <v>827</v>
      </c>
      <c r="C258" t="s">
        <v>58</v>
      </c>
      <c r="D258" t="s">
        <v>31</v>
      </c>
      <c r="E258" t="s">
        <v>32</v>
      </c>
      <c r="F258" t="s">
        <v>28</v>
      </c>
      <c r="G258" t="s">
        <v>51</v>
      </c>
      <c r="H258">
        <v>64</v>
      </c>
      <c r="I258" t="str">
        <f>IF(TBL[[#This Row],[Age]]&gt;=60, "Old", IF(TBL[[#This Row],[Age]]&gt;=30, "Adult", "Young"))</f>
        <v>Old</v>
      </c>
      <c r="J258" s="1">
        <v>33875</v>
      </c>
      <c r="K258">
        <f t="shared" ref="K258:K321" si="4">YEAR(--J258)</f>
        <v>1992</v>
      </c>
      <c r="L258">
        <f>MONTH(TBL[[#This Row],[Hire Date]])</f>
        <v>9</v>
      </c>
      <c r="M258" s="7">
        <v>70778</v>
      </c>
      <c r="N258" s="8">
        <v>0</v>
      </c>
      <c r="O258" t="s">
        <v>19</v>
      </c>
      <c r="P258" t="s">
        <v>25</v>
      </c>
      <c r="Q258" s="1" t="s">
        <v>21</v>
      </c>
    </row>
    <row r="259" spans="1:17" x14ac:dyDescent="0.35">
      <c r="A259" t="s">
        <v>828</v>
      </c>
      <c r="B259" t="s">
        <v>829</v>
      </c>
      <c r="C259" t="s">
        <v>40</v>
      </c>
      <c r="D259" t="s">
        <v>23</v>
      </c>
      <c r="E259" t="s">
        <v>44</v>
      </c>
      <c r="F259" t="s">
        <v>17</v>
      </c>
      <c r="G259" t="s">
        <v>51</v>
      </c>
      <c r="H259">
        <v>65</v>
      </c>
      <c r="I259" t="str">
        <f>IF(TBL[[#This Row],[Age]]&gt;=60, "Old", IF(TBL[[#This Row],[Age]]&gt;=30, "Adult", "Young"))</f>
        <v>Old</v>
      </c>
      <c r="J259" s="1">
        <v>38130</v>
      </c>
      <c r="K259">
        <f t="shared" si="4"/>
        <v>2004</v>
      </c>
      <c r="L259">
        <f>MONTH(TBL[[#This Row],[Hire Date]])</f>
        <v>5</v>
      </c>
      <c r="M259" s="7">
        <v>153938</v>
      </c>
      <c r="N259" s="8">
        <v>0.2</v>
      </c>
      <c r="O259" t="s">
        <v>19</v>
      </c>
      <c r="P259" t="s">
        <v>39</v>
      </c>
      <c r="Q259" s="1" t="s">
        <v>21</v>
      </c>
    </row>
    <row r="260" spans="1:17" x14ac:dyDescent="0.35">
      <c r="A260" t="s">
        <v>354</v>
      </c>
      <c r="B260" t="s">
        <v>830</v>
      </c>
      <c r="C260" t="s">
        <v>76</v>
      </c>
      <c r="D260" t="s">
        <v>27</v>
      </c>
      <c r="E260" t="s">
        <v>16</v>
      </c>
      <c r="F260" t="s">
        <v>28</v>
      </c>
      <c r="G260" t="s">
        <v>24</v>
      </c>
      <c r="H260">
        <v>43</v>
      </c>
      <c r="I260" t="str">
        <f>IF(TBL[[#This Row],[Age]]&gt;=60, "Old", IF(TBL[[#This Row],[Age]]&gt;=30, "Adult", "Young"))</f>
        <v>Adult</v>
      </c>
      <c r="J260" s="1">
        <v>43224</v>
      </c>
      <c r="K260">
        <f t="shared" si="4"/>
        <v>2018</v>
      </c>
      <c r="L260">
        <f>MONTH(TBL[[#This Row],[Hire Date]])</f>
        <v>5</v>
      </c>
      <c r="M260" s="7">
        <v>59888</v>
      </c>
      <c r="N260" s="8">
        <v>0</v>
      </c>
      <c r="O260" t="s">
        <v>33</v>
      </c>
      <c r="P260" t="s">
        <v>60</v>
      </c>
      <c r="Q260" s="1" t="s">
        <v>21</v>
      </c>
    </row>
    <row r="261" spans="1:17" x14ac:dyDescent="0.35">
      <c r="A261" t="s">
        <v>113</v>
      </c>
      <c r="B261" t="s">
        <v>831</v>
      </c>
      <c r="C261" t="s">
        <v>58</v>
      </c>
      <c r="D261" t="s">
        <v>31</v>
      </c>
      <c r="E261" t="s">
        <v>32</v>
      </c>
      <c r="F261" t="s">
        <v>28</v>
      </c>
      <c r="G261" t="s">
        <v>18</v>
      </c>
      <c r="H261">
        <v>50</v>
      </c>
      <c r="I261" t="str">
        <f>IF(TBL[[#This Row],[Age]]&gt;=60, "Old", IF(TBL[[#This Row],[Age]]&gt;=30, "Adult", "Young"))</f>
        <v>Adult</v>
      </c>
      <c r="J261" s="1">
        <v>43447</v>
      </c>
      <c r="K261">
        <f t="shared" si="4"/>
        <v>2018</v>
      </c>
      <c r="L261">
        <f>MONTH(TBL[[#This Row],[Hire Date]])</f>
        <v>12</v>
      </c>
      <c r="M261" s="7">
        <v>63098</v>
      </c>
      <c r="N261" s="8">
        <v>0</v>
      </c>
      <c r="O261" t="s">
        <v>19</v>
      </c>
      <c r="P261" t="s">
        <v>29</v>
      </c>
      <c r="Q261" s="1" t="s">
        <v>21</v>
      </c>
    </row>
    <row r="262" spans="1:17" x14ac:dyDescent="0.35">
      <c r="A262" t="s">
        <v>832</v>
      </c>
      <c r="B262" t="s">
        <v>833</v>
      </c>
      <c r="C262" t="s">
        <v>14</v>
      </c>
      <c r="D262" t="s">
        <v>15</v>
      </c>
      <c r="E262" t="s">
        <v>32</v>
      </c>
      <c r="F262" t="s">
        <v>17</v>
      </c>
      <c r="G262" t="s">
        <v>51</v>
      </c>
      <c r="H262">
        <v>27</v>
      </c>
      <c r="I262" t="str">
        <f>IF(TBL[[#This Row],[Age]]&gt;=60, "Old", IF(TBL[[#This Row],[Age]]&gt;=30, "Adult", "Young"))</f>
        <v>Young</v>
      </c>
      <c r="J262" s="1">
        <v>44545</v>
      </c>
      <c r="K262">
        <f t="shared" si="4"/>
        <v>2021</v>
      </c>
      <c r="L262">
        <f>MONTH(TBL[[#This Row],[Hire Date]])</f>
        <v>12</v>
      </c>
      <c r="M262" s="7">
        <v>255369</v>
      </c>
      <c r="N262" s="8">
        <v>0.33</v>
      </c>
      <c r="O262" t="s">
        <v>52</v>
      </c>
      <c r="P262" t="s">
        <v>53</v>
      </c>
      <c r="Q262" s="1" t="s">
        <v>21</v>
      </c>
    </row>
    <row r="263" spans="1:17" x14ac:dyDescent="0.35">
      <c r="A263" t="s">
        <v>138</v>
      </c>
      <c r="B263" t="s">
        <v>834</v>
      </c>
      <c r="C263" t="s">
        <v>61</v>
      </c>
      <c r="D263" t="s">
        <v>23</v>
      </c>
      <c r="E263" t="s">
        <v>36</v>
      </c>
      <c r="F263" t="s">
        <v>17</v>
      </c>
      <c r="G263" t="s">
        <v>47</v>
      </c>
      <c r="H263">
        <v>55</v>
      </c>
      <c r="I263" t="str">
        <f>IF(TBL[[#This Row],[Age]]&gt;=60, "Old", IF(TBL[[#This Row],[Age]]&gt;=30, "Adult", "Young"))</f>
        <v>Adult</v>
      </c>
      <c r="J263" s="1">
        <v>38301</v>
      </c>
      <c r="K263">
        <f t="shared" si="4"/>
        <v>2004</v>
      </c>
      <c r="L263">
        <f>MONTH(TBL[[#This Row],[Hire Date]])</f>
        <v>11</v>
      </c>
      <c r="M263" s="7">
        <v>142318</v>
      </c>
      <c r="N263" s="8">
        <v>0.14000000000000001</v>
      </c>
      <c r="O263" t="s">
        <v>19</v>
      </c>
      <c r="P263" t="s">
        <v>20</v>
      </c>
      <c r="Q263" s="1" t="s">
        <v>21</v>
      </c>
    </row>
    <row r="264" spans="1:17" x14ac:dyDescent="0.35">
      <c r="A264" t="s">
        <v>319</v>
      </c>
      <c r="B264" t="s">
        <v>835</v>
      </c>
      <c r="C264" t="s">
        <v>83</v>
      </c>
      <c r="D264" t="s">
        <v>23</v>
      </c>
      <c r="E264" t="s">
        <v>36</v>
      </c>
      <c r="F264" t="s">
        <v>28</v>
      </c>
      <c r="G264" t="s">
        <v>47</v>
      </c>
      <c r="H264">
        <v>41</v>
      </c>
      <c r="I264" t="str">
        <f>IF(TBL[[#This Row],[Age]]&gt;=60, "Old", IF(TBL[[#This Row],[Age]]&gt;=30, "Adult", "Young"))</f>
        <v>Adult</v>
      </c>
      <c r="J264" s="1">
        <v>38219</v>
      </c>
      <c r="K264">
        <f t="shared" si="4"/>
        <v>2004</v>
      </c>
      <c r="L264">
        <f>MONTH(TBL[[#This Row],[Hire Date]])</f>
        <v>8</v>
      </c>
      <c r="M264" s="7">
        <v>49186</v>
      </c>
      <c r="N264" s="8">
        <v>0</v>
      </c>
      <c r="O264" t="s">
        <v>19</v>
      </c>
      <c r="P264" t="s">
        <v>25</v>
      </c>
      <c r="Q264" s="1">
        <v>39616</v>
      </c>
    </row>
    <row r="265" spans="1:17" x14ac:dyDescent="0.35">
      <c r="A265" t="s">
        <v>836</v>
      </c>
      <c r="B265" t="s">
        <v>837</v>
      </c>
      <c r="C265" t="s">
        <v>14</v>
      </c>
      <c r="D265" t="s">
        <v>23</v>
      </c>
      <c r="E265" t="s">
        <v>16</v>
      </c>
      <c r="F265" t="s">
        <v>17</v>
      </c>
      <c r="G265" t="s">
        <v>47</v>
      </c>
      <c r="H265">
        <v>34</v>
      </c>
      <c r="I265" t="str">
        <f>IF(TBL[[#This Row],[Age]]&gt;=60, "Old", IF(TBL[[#This Row],[Age]]&gt;=30, "Adult", "Young"))</f>
        <v>Adult</v>
      </c>
      <c r="J265" s="1">
        <v>43673</v>
      </c>
      <c r="K265">
        <f t="shared" si="4"/>
        <v>2019</v>
      </c>
      <c r="L265">
        <f>MONTH(TBL[[#This Row],[Hire Date]])</f>
        <v>7</v>
      </c>
      <c r="M265" s="7">
        <v>220937</v>
      </c>
      <c r="N265" s="8">
        <v>0.38</v>
      </c>
      <c r="O265" t="s">
        <v>19</v>
      </c>
      <c r="P265" t="s">
        <v>25</v>
      </c>
      <c r="Q265" s="1" t="s">
        <v>21</v>
      </c>
    </row>
    <row r="266" spans="1:17" x14ac:dyDescent="0.35">
      <c r="A266" t="s">
        <v>838</v>
      </c>
      <c r="B266" t="s">
        <v>839</v>
      </c>
      <c r="C266" t="s">
        <v>40</v>
      </c>
      <c r="D266" t="s">
        <v>27</v>
      </c>
      <c r="E266" t="s">
        <v>44</v>
      </c>
      <c r="F266" t="s">
        <v>17</v>
      </c>
      <c r="G266" t="s">
        <v>24</v>
      </c>
      <c r="H266">
        <v>47</v>
      </c>
      <c r="I266" t="str">
        <f>IF(TBL[[#This Row],[Age]]&gt;=60, "Old", IF(TBL[[#This Row],[Age]]&gt;=30, "Adult", "Young"))</f>
        <v>Adult</v>
      </c>
      <c r="J266" s="1">
        <v>41208</v>
      </c>
      <c r="K266">
        <f t="shared" si="4"/>
        <v>2012</v>
      </c>
      <c r="L266">
        <f>MONTH(TBL[[#This Row],[Hire Date]])</f>
        <v>10</v>
      </c>
      <c r="M266" s="7">
        <v>183156</v>
      </c>
      <c r="N266" s="8">
        <v>0.3</v>
      </c>
      <c r="O266" t="s">
        <v>19</v>
      </c>
      <c r="P266" t="s">
        <v>63</v>
      </c>
      <c r="Q266" s="1" t="s">
        <v>21</v>
      </c>
    </row>
    <row r="267" spans="1:17" x14ac:dyDescent="0.35">
      <c r="A267" t="s">
        <v>840</v>
      </c>
      <c r="B267" t="s">
        <v>841</v>
      </c>
      <c r="C267" t="s">
        <v>14</v>
      </c>
      <c r="D267" t="s">
        <v>27</v>
      </c>
      <c r="E267" t="s">
        <v>44</v>
      </c>
      <c r="F267" t="s">
        <v>17</v>
      </c>
      <c r="G267" t="s">
        <v>51</v>
      </c>
      <c r="H267">
        <v>32</v>
      </c>
      <c r="I267" t="str">
        <f>IF(TBL[[#This Row],[Age]]&gt;=60, "Old", IF(TBL[[#This Row],[Age]]&gt;=30, "Adult", "Young"))</f>
        <v>Adult</v>
      </c>
      <c r="J267" s="1">
        <v>44034</v>
      </c>
      <c r="K267">
        <f t="shared" si="4"/>
        <v>2020</v>
      </c>
      <c r="L267">
        <f>MONTH(TBL[[#This Row],[Hire Date]])</f>
        <v>7</v>
      </c>
      <c r="M267" s="7">
        <v>192749</v>
      </c>
      <c r="N267" s="8">
        <v>0.31</v>
      </c>
      <c r="O267" t="s">
        <v>19</v>
      </c>
      <c r="P267" t="s">
        <v>20</v>
      </c>
      <c r="Q267" s="1" t="s">
        <v>21</v>
      </c>
    </row>
    <row r="268" spans="1:17" x14ac:dyDescent="0.35">
      <c r="A268" t="s">
        <v>842</v>
      </c>
      <c r="B268" t="s">
        <v>843</v>
      </c>
      <c r="C268" t="s">
        <v>61</v>
      </c>
      <c r="D268" t="s">
        <v>27</v>
      </c>
      <c r="E268" t="s">
        <v>36</v>
      </c>
      <c r="F268" t="s">
        <v>17</v>
      </c>
      <c r="G268" t="s">
        <v>24</v>
      </c>
      <c r="H268">
        <v>39</v>
      </c>
      <c r="I268" t="str">
        <f>IF(TBL[[#This Row],[Age]]&gt;=60, "Old", IF(TBL[[#This Row],[Age]]&gt;=30, "Adult", "Young"))</f>
        <v>Adult</v>
      </c>
      <c r="J268" s="1">
        <v>42819</v>
      </c>
      <c r="K268">
        <f t="shared" si="4"/>
        <v>2017</v>
      </c>
      <c r="L268">
        <f>MONTH(TBL[[#This Row],[Hire Date]])</f>
        <v>3</v>
      </c>
      <c r="M268" s="7">
        <v>135325</v>
      </c>
      <c r="N268" s="8">
        <v>0.14000000000000001</v>
      </c>
      <c r="O268" t="s">
        <v>19</v>
      </c>
      <c r="P268" t="s">
        <v>39</v>
      </c>
      <c r="Q268" s="1" t="s">
        <v>21</v>
      </c>
    </row>
    <row r="269" spans="1:17" x14ac:dyDescent="0.35">
      <c r="A269" t="s">
        <v>844</v>
      </c>
      <c r="B269" t="s">
        <v>845</v>
      </c>
      <c r="C269" t="s">
        <v>42</v>
      </c>
      <c r="D269" t="s">
        <v>50</v>
      </c>
      <c r="E269" t="s">
        <v>44</v>
      </c>
      <c r="F269" t="s">
        <v>17</v>
      </c>
      <c r="G269" t="s">
        <v>18</v>
      </c>
      <c r="H269">
        <v>26</v>
      </c>
      <c r="I269" t="str">
        <f>IF(TBL[[#This Row],[Age]]&gt;=60, "Old", IF(TBL[[#This Row],[Age]]&gt;=30, "Adult", "Young"))</f>
        <v>Young</v>
      </c>
      <c r="J269" s="1">
        <v>43752</v>
      </c>
      <c r="K269">
        <f t="shared" si="4"/>
        <v>2019</v>
      </c>
      <c r="L269">
        <f>MONTH(TBL[[#This Row],[Hire Date]])</f>
        <v>10</v>
      </c>
      <c r="M269" s="7">
        <v>79356</v>
      </c>
      <c r="N269" s="8">
        <v>0</v>
      </c>
      <c r="O269" t="s">
        <v>19</v>
      </c>
      <c r="P269" t="s">
        <v>39</v>
      </c>
      <c r="Q269" s="1" t="s">
        <v>21</v>
      </c>
    </row>
    <row r="270" spans="1:17" x14ac:dyDescent="0.35">
      <c r="A270" t="s">
        <v>846</v>
      </c>
      <c r="B270" t="s">
        <v>847</v>
      </c>
      <c r="C270" t="s">
        <v>86</v>
      </c>
      <c r="D270" t="s">
        <v>31</v>
      </c>
      <c r="E270" t="s">
        <v>36</v>
      </c>
      <c r="F270" t="s">
        <v>28</v>
      </c>
      <c r="G270" t="s">
        <v>47</v>
      </c>
      <c r="H270">
        <v>40</v>
      </c>
      <c r="I270" t="str">
        <f>IF(TBL[[#This Row],[Age]]&gt;=60, "Old", IF(TBL[[#This Row],[Age]]&gt;=30, "Adult", "Young"))</f>
        <v>Adult</v>
      </c>
      <c r="J270" s="1">
        <v>38540</v>
      </c>
      <c r="K270">
        <f t="shared" si="4"/>
        <v>2005</v>
      </c>
      <c r="L270">
        <f>MONTH(TBL[[#This Row],[Hire Date]])</f>
        <v>7</v>
      </c>
      <c r="M270" s="7">
        <v>74412</v>
      </c>
      <c r="N270" s="8">
        <v>0</v>
      </c>
      <c r="O270" t="s">
        <v>19</v>
      </c>
      <c r="P270" t="s">
        <v>63</v>
      </c>
      <c r="Q270" s="1" t="s">
        <v>21</v>
      </c>
    </row>
    <row r="271" spans="1:17" x14ac:dyDescent="0.35">
      <c r="A271" t="s">
        <v>539</v>
      </c>
      <c r="B271" t="s">
        <v>848</v>
      </c>
      <c r="C271" t="s">
        <v>56</v>
      </c>
      <c r="D271" t="s">
        <v>27</v>
      </c>
      <c r="E271" t="s">
        <v>36</v>
      </c>
      <c r="F271" t="s">
        <v>17</v>
      </c>
      <c r="G271" t="s">
        <v>51</v>
      </c>
      <c r="H271">
        <v>32</v>
      </c>
      <c r="I271" t="str">
        <f>IF(TBL[[#This Row],[Age]]&gt;=60, "Old", IF(TBL[[#This Row],[Age]]&gt;=30, "Adult", "Young"))</f>
        <v>Adult</v>
      </c>
      <c r="J271" s="1">
        <v>43010</v>
      </c>
      <c r="K271">
        <f t="shared" si="4"/>
        <v>2017</v>
      </c>
      <c r="L271">
        <f>MONTH(TBL[[#This Row],[Hire Date]])</f>
        <v>10</v>
      </c>
      <c r="M271" s="7">
        <v>61886</v>
      </c>
      <c r="N271" s="8">
        <v>0.09</v>
      </c>
      <c r="O271" t="s">
        <v>52</v>
      </c>
      <c r="P271" t="s">
        <v>66</v>
      </c>
      <c r="Q271" s="1" t="s">
        <v>21</v>
      </c>
    </row>
    <row r="272" spans="1:17" x14ac:dyDescent="0.35">
      <c r="A272" t="s">
        <v>211</v>
      </c>
      <c r="B272" t="s">
        <v>849</v>
      </c>
      <c r="C272" t="s">
        <v>40</v>
      </c>
      <c r="D272" t="s">
        <v>65</v>
      </c>
      <c r="E272" t="s">
        <v>16</v>
      </c>
      <c r="F272" t="s">
        <v>17</v>
      </c>
      <c r="G272" t="s">
        <v>24</v>
      </c>
      <c r="H272">
        <v>58</v>
      </c>
      <c r="I272" t="str">
        <f>IF(TBL[[#This Row],[Age]]&gt;=60, "Old", IF(TBL[[#This Row],[Age]]&gt;=30, "Adult", "Young"))</f>
        <v>Adult</v>
      </c>
      <c r="J272" s="1">
        <v>37755</v>
      </c>
      <c r="K272">
        <f t="shared" si="4"/>
        <v>2003</v>
      </c>
      <c r="L272">
        <f>MONTH(TBL[[#This Row],[Hire Date]])</f>
        <v>5</v>
      </c>
      <c r="M272" s="7">
        <v>173071</v>
      </c>
      <c r="N272" s="8">
        <v>0.28999999999999998</v>
      </c>
      <c r="O272" t="s">
        <v>19</v>
      </c>
      <c r="P272" t="s">
        <v>29</v>
      </c>
      <c r="Q272" s="1" t="s">
        <v>21</v>
      </c>
    </row>
    <row r="273" spans="1:17" x14ac:dyDescent="0.35">
      <c r="A273" t="s">
        <v>299</v>
      </c>
      <c r="B273" t="s">
        <v>850</v>
      </c>
      <c r="C273" t="s">
        <v>129</v>
      </c>
      <c r="D273" t="s">
        <v>31</v>
      </c>
      <c r="E273" t="s">
        <v>16</v>
      </c>
      <c r="F273" t="s">
        <v>17</v>
      </c>
      <c r="G273" t="s">
        <v>18</v>
      </c>
      <c r="H273">
        <v>58</v>
      </c>
      <c r="I273" t="str">
        <f>IF(TBL[[#This Row],[Age]]&gt;=60, "Old", IF(TBL[[#This Row],[Age]]&gt;=30, "Adult", "Young"))</f>
        <v>Adult</v>
      </c>
      <c r="J273" s="1">
        <v>34999</v>
      </c>
      <c r="K273">
        <f t="shared" si="4"/>
        <v>1995</v>
      </c>
      <c r="L273">
        <f>MONTH(TBL[[#This Row],[Hire Date]])</f>
        <v>10</v>
      </c>
      <c r="M273" s="7">
        <v>70189</v>
      </c>
      <c r="N273" s="8">
        <v>0</v>
      </c>
      <c r="O273" t="s">
        <v>19</v>
      </c>
      <c r="P273" t="s">
        <v>29</v>
      </c>
      <c r="Q273" s="1" t="s">
        <v>21</v>
      </c>
    </row>
    <row r="274" spans="1:17" x14ac:dyDescent="0.35">
      <c r="A274" t="s">
        <v>263</v>
      </c>
      <c r="B274" t="s">
        <v>851</v>
      </c>
      <c r="C274" t="s">
        <v>14</v>
      </c>
      <c r="D274" t="s">
        <v>50</v>
      </c>
      <c r="E274" t="s">
        <v>16</v>
      </c>
      <c r="F274" t="s">
        <v>17</v>
      </c>
      <c r="G274" t="s">
        <v>51</v>
      </c>
      <c r="H274">
        <v>42</v>
      </c>
      <c r="I274" t="str">
        <f>IF(TBL[[#This Row],[Age]]&gt;=60, "Old", IF(TBL[[#This Row],[Age]]&gt;=30, "Adult", "Young"))</f>
        <v>Adult</v>
      </c>
      <c r="J274" s="1">
        <v>41528</v>
      </c>
      <c r="K274">
        <f t="shared" si="4"/>
        <v>2013</v>
      </c>
      <c r="L274">
        <f>MONTH(TBL[[#This Row],[Hire Date]])</f>
        <v>9</v>
      </c>
      <c r="M274" s="7">
        <v>181452</v>
      </c>
      <c r="N274" s="8">
        <v>0.3</v>
      </c>
      <c r="O274" t="s">
        <v>19</v>
      </c>
      <c r="P274" t="s">
        <v>29</v>
      </c>
      <c r="Q274" s="1" t="s">
        <v>21</v>
      </c>
    </row>
    <row r="275" spans="1:17" x14ac:dyDescent="0.35">
      <c r="A275" t="s">
        <v>852</v>
      </c>
      <c r="B275" t="s">
        <v>853</v>
      </c>
      <c r="C275" t="s">
        <v>22</v>
      </c>
      <c r="D275" t="s">
        <v>23</v>
      </c>
      <c r="E275" t="s">
        <v>44</v>
      </c>
      <c r="F275" t="s">
        <v>28</v>
      </c>
      <c r="G275" t="s">
        <v>18</v>
      </c>
      <c r="H275">
        <v>26</v>
      </c>
      <c r="I275" t="str">
        <f>IF(TBL[[#This Row],[Age]]&gt;=60, "Old", IF(TBL[[#This Row],[Age]]&gt;=30, "Adult", "Young"))</f>
        <v>Young</v>
      </c>
      <c r="J275" s="1">
        <v>44267</v>
      </c>
      <c r="K275">
        <f t="shared" si="4"/>
        <v>2021</v>
      </c>
      <c r="L275">
        <f>MONTH(TBL[[#This Row],[Hire Date]])</f>
        <v>3</v>
      </c>
      <c r="M275" s="7">
        <v>70369</v>
      </c>
      <c r="N275" s="8">
        <v>0</v>
      </c>
      <c r="O275" t="s">
        <v>19</v>
      </c>
      <c r="P275" t="s">
        <v>63</v>
      </c>
      <c r="Q275" s="1" t="s">
        <v>21</v>
      </c>
    </row>
    <row r="276" spans="1:17" x14ac:dyDescent="0.35">
      <c r="A276" t="s">
        <v>854</v>
      </c>
      <c r="B276" t="s">
        <v>855</v>
      </c>
      <c r="C276" t="s">
        <v>42</v>
      </c>
      <c r="D276" t="s">
        <v>65</v>
      </c>
      <c r="E276" t="s">
        <v>36</v>
      </c>
      <c r="F276" t="s">
        <v>28</v>
      </c>
      <c r="G276" t="s">
        <v>51</v>
      </c>
      <c r="H276">
        <v>38</v>
      </c>
      <c r="I276" t="str">
        <f>IF(TBL[[#This Row],[Age]]&gt;=60, "Old", IF(TBL[[#This Row],[Age]]&gt;=30, "Adult", "Young"))</f>
        <v>Adult</v>
      </c>
      <c r="J276" s="1">
        <v>39634</v>
      </c>
      <c r="K276">
        <f t="shared" si="4"/>
        <v>2008</v>
      </c>
      <c r="L276">
        <f>MONTH(TBL[[#This Row],[Hire Date]])</f>
        <v>7</v>
      </c>
      <c r="M276" s="7">
        <v>78056</v>
      </c>
      <c r="N276" s="8">
        <v>0</v>
      </c>
      <c r="O276" t="s">
        <v>52</v>
      </c>
      <c r="P276" t="s">
        <v>53</v>
      </c>
      <c r="Q276" s="1" t="s">
        <v>21</v>
      </c>
    </row>
    <row r="277" spans="1:17" x14ac:dyDescent="0.35">
      <c r="A277" t="s">
        <v>856</v>
      </c>
      <c r="B277" t="s">
        <v>857</v>
      </c>
      <c r="C277" t="s">
        <v>40</v>
      </c>
      <c r="D277" t="s">
        <v>15</v>
      </c>
      <c r="E277" t="s">
        <v>16</v>
      </c>
      <c r="F277" t="s">
        <v>28</v>
      </c>
      <c r="G277" t="s">
        <v>24</v>
      </c>
      <c r="H277">
        <v>64</v>
      </c>
      <c r="I277" t="str">
        <f>IF(TBL[[#This Row],[Age]]&gt;=60, "Old", IF(TBL[[#This Row],[Age]]&gt;=30, "Adult", "Young"))</f>
        <v>Old</v>
      </c>
      <c r="J277" s="1">
        <v>35187</v>
      </c>
      <c r="K277">
        <f t="shared" si="4"/>
        <v>1996</v>
      </c>
      <c r="L277">
        <f>MONTH(TBL[[#This Row],[Hire Date]])</f>
        <v>5</v>
      </c>
      <c r="M277" s="7">
        <v>189933</v>
      </c>
      <c r="N277" s="8">
        <v>0.23</v>
      </c>
      <c r="O277" t="s">
        <v>19</v>
      </c>
      <c r="P277" t="s">
        <v>45</v>
      </c>
      <c r="Q277" s="1" t="s">
        <v>21</v>
      </c>
    </row>
    <row r="278" spans="1:17" x14ac:dyDescent="0.35">
      <c r="A278" t="s">
        <v>296</v>
      </c>
      <c r="B278" t="s">
        <v>858</v>
      </c>
      <c r="C278" t="s">
        <v>59</v>
      </c>
      <c r="D278" t="s">
        <v>31</v>
      </c>
      <c r="E278" t="s">
        <v>44</v>
      </c>
      <c r="F278" t="s">
        <v>28</v>
      </c>
      <c r="G278" t="s">
        <v>18</v>
      </c>
      <c r="H278">
        <v>38</v>
      </c>
      <c r="I278" t="str">
        <f>IF(TBL[[#This Row],[Age]]&gt;=60, "Old", IF(TBL[[#This Row],[Age]]&gt;=30, "Adult", "Young"))</f>
        <v>Adult</v>
      </c>
      <c r="J278" s="1">
        <v>40360</v>
      </c>
      <c r="K278">
        <f t="shared" si="4"/>
        <v>2010</v>
      </c>
      <c r="L278">
        <f>MONTH(TBL[[#This Row],[Hire Date]])</f>
        <v>7</v>
      </c>
      <c r="M278" s="7">
        <v>78237</v>
      </c>
      <c r="N278" s="8">
        <v>0</v>
      </c>
      <c r="O278" t="s">
        <v>19</v>
      </c>
      <c r="P278" t="s">
        <v>39</v>
      </c>
      <c r="Q278" s="1" t="s">
        <v>21</v>
      </c>
    </row>
    <row r="279" spans="1:17" x14ac:dyDescent="0.35">
      <c r="A279" t="s">
        <v>859</v>
      </c>
      <c r="B279" t="s">
        <v>860</v>
      </c>
      <c r="C279" t="s">
        <v>68</v>
      </c>
      <c r="D279" t="s">
        <v>65</v>
      </c>
      <c r="E279" t="s">
        <v>16</v>
      </c>
      <c r="F279" t="s">
        <v>17</v>
      </c>
      <c r="G279" t="s">
        <v>51</v>
      </c>
      <c r="H279">
        <v>55</v>
      </c>
      <c r="I279" t="str">
        <f>IF(TBL[[#This Row],[Age]]&gt;=60, "Old", IF(TBL[[#This Row],[Age]]&gt;=30, "Adult", "Young"))</f>
        <v>Adult</v>
      </c>
      <c r="J279" s="1">
        <v>35242</v>
      </c>
      <c r="K279">
        <f t="shared" si="4"/>
        <v>1996</v>
      </c>
      <c r="L279">
        <f>MONTH(TBL[[#This Row],[Hire Date]])</f>
        <v>6</v>
      </c>
      <c r="M279" s="7">
        <v>48687</v>
      </c>
      <c r="N279" s="8">
        <v>0</v>
      </c>
      <c r="O279" t="s">
        <v>52</v>
      </c>
      <c r="P279" t="s">
        <v>66</v>
      </c>
      <c r="Q279" s="1" t="s">
        <v>21</v>
      </c>
    </row>
    <row r="280" spans="1:17" x14ac:dyDescent="0.35">
      <c r="A280" t="s">
        <v>861</v>
      </c>
      <c r="B280" t="s">
        <v>862</v>
      </c>
      <c r="C280" t="s">
        <v>61</v>
      </c>
      <c r="D280" t="s">
        <v>43</v>
      </c>
      <c r="E280" t="s">
        <v>36</v>
      </c>
      <c r="F280" t="s">
        <v>17</v>
      </c>
      <c r="G280" t="s">
        <v>51</v>
      </c>
      <c r="H280">
        <v>45</v>
      </c>
      <c r="I280" t="str">
        <f>IF(TBL[[#This Row],[Age]]&gt;=60, "Old", IF(TBL[[#This Row],[Age]]&gt;=30, "Adult", "Young"))</f>
        <v>Adult</v>
      </c>
      <c r="J280" s="1">
        <v>38218</v>
      </c>
      <c r="K280">
        <f t="shared" si="4"/>
        <v>2004</v>
      </c>
      <c r="L280">
        <f>MONTH(TBL[[#This Row],[Hire Date]])</f>
        <v>8</v>
      </c>
      <c r="M280" s="7">
        <v>121065</v>
      </c>
      <c r="N280" s="8">
        <v>0.15</v>
      </c>
      <c r="O280" t="s">
        <v>52</v>
      </c>
      <c r="P280" t="s">
        <v>66</v>
      </c>
      <c r="Q280" s="1" t="s">
        <v>21</v>
      </c>
    </row>
    <row r="281" spans="1:17" x14ac:dyDescent="0.35">
      <c r="A281" t="s">
        <v>863</v>
      </c>
      <c r="B281" t="s">
        <v>864</v>
      </c>
      <c r="C281" t="s">
        <v>42</v>
      </c>
      <c r="D281" t="s">
        <v>50</v>
      </c>
      <c r="E281" t="s">
        <v>32</v>
      </c>
      <c r="F281" t="s">
        <v>28</v>
      </c>
      <c r="G281" t="s">
        <v>47</v>
      </c>
      <c r="H281">
        <v>43</v>
      </c>
      <c r="I281" t="str">
        <f>IF(TBL[[#This Row],[Age]]&gt;=60, "Old", IF(TBL[[#This Row],[Age]]&gt;=30, "Adult", "Young"))</f>
        <v>Adult</v>
      </c>
      <c r="J281" s="1">
        <v>38093</v>
      </c>
      <c r="K281">
        <f t="shared" si="4"/>
        <v>2004</v>
      </c>
      <c r="L281">
        <f>MONTH(TBL[[#This Row],[Hire Date]])</f>
        <v>4</v>
      </c>
      <c r="M281" s="7">
        <v>94246</v>
      </c>
      <c r="N281" s="8">
        <v>0</v>
      </c>
      <c r="O281" t="s">
        <v>19</v>
      </c>
      <c r="P281" t="s">
        <v>25</v>
      </c>
      <c r="Q281" s="1" t="s">
        <v>21</v>
      </c>
    </row>
    <row r="282" spans="1:17" x14ac:dyDescent="0.35">
      <c r="A282" t="s">
        <v>155</v>
      </c>
      <c r="B282" t="s">
        <v>865</v>
      </c>
      <c r="C282" t="s">
        <v>76</v>
      </c>
      <c r="D282" t="s">
        <v>27</v>
      </c>
      <c r="E282" t="s">
        <v>36</v>
      </c>
      <c r="F282" t="s">
        <v>17</v>
      </c>
      <c r="G282" t="s">
        <v>24</v>
      </c>
      <c r="H282">
        <v>34</v>
      </c>
      <c r="I282" t="str">
        <f>IF(TBL[[#This Row],[Age]]&gt;=60, "Old", IF(TBL[[#This Row],[Age]]&gt;=30, "Adult", "Young"))</f>
        <v>Adult</v>
      </c>
      <c r="J282" s="1">
        <v>42512</v>
      </c>
      <c r="K282">
        <f t="shared" si="4"/>
        <v>2016</v>
      </c>
      <c r="L282">
        <f>MONTH(TBL[[#This Row],[Hire Date]])</f>
        <v>5</v>
      </c>
      <c r="M282" s="7">
        <v>44614</v>
      </c>
      <c r="N282" s="8">
        <v>0</v>
      </c>
      <c r="O282" t="s">
        <v>19</v>
      </c>
      <c r="P282" t="s">
        <v>45</v>
      </c>
      <c r="Q282" s="1" t="s">
        <v>21</v>
      </c>
    </row>
    <row r="283" spans="1:17" x14ac:dyDescent="0.35">
      <c r="A283" t="s">
        <v>866</v>
      </c>
      <c r="B283" t="s">
        <v>867</v>
      </c>
      <c r="C283" t="s">
        <v>14</v>
      </c>
      <c r="D283" t="s">
        <v>27</v>
      </c>
      <c r="E283" t="s">
        <v>16</v>
      </c>
      <c r="F283" t="s">
        <v>28</v>
      </c>
      <c r="G283" t="s">
        <v>24</v>
      </c>
      <c r="H283">
        <v>40</v>
      </c>
      <c r="I283" t="str">
        <f>IF(TBL[[#This Row],[Age]]&gt;=60, "Old", IF(TBL[[#This Row],[Age]]&gt;=30, "Adult", "Young"))</f>
        <v>Adult</v>
      </c>
      <c r="J283" s="1">
        <v>44143</v>
      </c>
      <c r="K283">
        <f t="shared" si="4"/>
        <v>2020</v>
      </c>
      <c r="L283">
        <f>MONTH(TBL[[#This Row],[Hire Date]])</f>
        <v>11</v>
      </c>
      <c r="M283" s="7">
        <v>234469</v>
      </c>
      <c r="N283" s="8">
        <v>0.31</v>
      </c>
      <c r="O283" t="s">
        <v>33</v>
      </c>
      <c r="P283" t="s">
        <v>34</v>
      </c>
      <c r="Q283" s="1" t="s">
        <v>21</v>
      </c>
    </row>
    <row r="284" spans="1:17" x14ac:dyDescent="0.35">
      <c r="A284" t="s">
        <v>868</v>
      </c>
      <c r="B284" t="s">
        <v>132</v>
      </c>
      <c r="C284" t="s">
        <v>59</v>
      </c>
      <c r="D284" t="s">
        <v>31</v>
      </c>
      <c r="E284" t="s">
        <v>16</v>
      </c>
      <c r="F284" t="s">
        <v>28</v>
      </c>
      <c r="G284" t="s">
        <v>51</v>
      </c>
      <c r="H284">
        <v>52</v>
      </c>
      <c r="I284" t="str">
        <f>IF(TBL[[#This Row],[Age]]&gt;=60, "Old", IF(TBL[[#This Row],[Age]]&gt;=30, "Adult", "Young"))</f>
        <v>Adult</v>
      </c>
      <c r="J284" s="1">
        <v>44022</v>
      </c>
      <c r="K284">
        <f t="shared" si="4"/>
        <v>2020</v>
      </c>
      <c r="L284">
        <f>MONTH(TBL[[#This Row],[Hire Date]])</f>
        <v>7</v>
      </c>
      <c r="M284" s="7">
        <v>88272</v>
      </c>
      <c r="N284" s="8">
        <v>0</v>
      </c>
      <c r="O284" t="s">
        <v>52</v>
      </c>
      <c r="P284" t="s">
        <v>53</v>
      </c>
      <c r="Q284" s="1" t="s">
        <v>21</v>
      </c>
    </row>
    <row r="285" spans="1:17" x14ac:dyDescent="0.35">
      <c r="A285" t="s">
        <v>869</v>
      </c>
      <c r="B285" t="s">
        <v>870</v>
      </c>
      <c r="C285" t="s">
        <v>64</v>
      </c>
      <c r="D285" t="s">
        <v>15</v>
      </c>
      <c r="E285" t="s">
        <v>32</v>
      </c>
      <c r="F285" t="s">
        <v>28</v>
      </c>
      <c r="G285" t="s">
        <v>24</v>
      </c>
      <c r="H285">
        <v>52</v>
      </c>
      <c r="I285" t="str">
        <f>IF(TBL[[#This Row],[Age]]&gt;=60, "Old", IF(TBL[[#This Row],[Age]]&gt;=30, "Adult", "Young"))</f>
        <v>Adult</v>
      </c>
      <c r="J285" s="1">
        <v>42992</v>
      </c>
      <c r="K285">
        <f t="shared" si="4"/>
        <v>2017</v>
      </c>
      <c r="L285">
        <f>MONTH(TBL[[#This Row],[Hire Date]])</f>
        <v>9</v>
      </c>
      <c r="M285" s="7">
        <v>74449</v>
      </c>
      <c r="N285" s="8">
        <v>0</v>
      </c>
      <c r="O285" t="s">
        <v>33</v>
      </c>
      <c r="P285" t="s">
        <v>60</v>
      </c>
      <c r="Q285" s="1" t="s">
        <v>21</v>
      </c>
    </row>
    <row r="286" spans="1:17" x14ac:dyDescent="0.35">
      <c r="A286" t="s">
        <v>871</v>
      </c>
      <c r="B286" t="s">
        <v>872</v>
      </c>
      <c r="C286" t="s">
        <v>14</v>
      </c>
      <c r="D286" t="s">
        <v>31</v>
      </c>
      <c r="E286" t="s">
        <v>44</v>
      </c>
      <c r="F286" t="s">
        <v>28</v>
      </c>
      <c r="G286" t="s">
        <v>24</v>
      </c>
      <c r="H286">
        <v>47</v>
      </c>
      <c r="I286" t="str">
        <f>IF(TBL[[#This Row],[Age]]&gt;=60, "Old", IF(TBL[[#This Row],[Age]]&gt;=30, "Adult", "Young"))</f>
        <v>Adult</v>
      </c>
      <c r="J286" s="1">
        <v>41071</v>
      </c>
      <c r="K286">
        <f t="shared" si="4"/>
        <v>2012</v>
      </c>
      <c r="L286">
        <f>MONTH(TBL[[#This Row],[Hire Date]])</f>
        <v>6</v>
      </c>
      <c r="M286" s="7">
        <v>222941</v>
      </c>
      <c r="N286" s="8">
        <v>0.39</v>
      </c>
      <c r="O286" t="s">
        <v>33</v>
      </c>
      <c r="P286" t="s">
        <v>60</v>
      </c>
      <c r="Q286" s="1" t="s">
        <v>21</v>
      </c>
    </row>
    <row r="287" spans="1:17" x14ac:dyDescent="0.35">
      <c r="A287" t="s">
        <v>394</v>
      </c>
      <c r="B287" t="s">
        <v>873</v>
      </c>
      <c r="C287" t="s">
        <v>68</v>
      </c>
      <c r="D287" t="s">
        <v>43</v>
      </c>
      <c r="E287" t="s">
        <v>36</v>
      </c>
      <c r="F287" t="s">
        <v>17</v>
      </c>
      <c r="G287" t="s">
        <v>24</v>
      </c>
      <c r="H287">
        <v>65</v>
      </c>
      <c r="I287" t="str">
        <f>IF(TBL[[#This Row],[Age]]&gt;=60, "Old", IF(TBL[[#This Row],[Age]]&gt;=30, "Adult", "Young"))</f>
        <v>Old</v>
      </c>
      <c r="J287" s="1">
        <v>41543</v>
      </c>
      <c r="K287">
        <f t="shared" si="4"/>
        <v>2013</v>
      </c>
      <c r="L287">
        <f>MONTH(TBL[[#This Row],[Hire Date]])</f>
        <v>9</v>
      </c>
      <c r="M287" s="7">
        <v>50341</v>
      </c>
      <c r="N287" s="8">
        <v>0</v>
      </c>
      <c r="O287" t="s">
        <v>33</v>
      </c>
      <c r="P287" t="s">
        <v>60</v>
      </c>
      <c r="Q287" s="1" t="s">
        <v>21</v>
      </c>
    </row>
    <row r="288" spans="1:17" x14ac:dyDescent="0.35">
      <c r="A288" t="s">
        <v>874</v>
      </c>
      <c r="B288" t="s">
        <v>875</v>
      </c>
      <c r="C288" t="s">
        <v>22</v>
      </c>
      <c r="D288" t="s">
        <v>23</v>
      </c>
      <c r="E288" t="s">
        <v>32</v>
      </c>
      <c r="F288" t="s">
        <v>17</v>
      </c>
      <c r="G288" t="s">
        <v>51</v>
      </c>
      <c r="H288">
        <v>31</v>
      </c>
      <c r="I288" t="str">
        <f>IF(TBL[[#This Row],[Age]]&gt;=60, "Old", IF(TBL[[#This Row],[Age]]&gt;=30, "Adult", "Young"))</f>
        <v>Adult</v>
      </c>
      <c r="J288" s="1">
        <v>44297</v>
      </c>
      <c r="K288">
        <f t="shared" si="4"/>
        <v>2021</v>
      </c>
      <c r="L288">
        <f>MONTH(TBL[[#This Row],[Hire Date]])</f>
        <v>4</v>
      </c>
      <c r="M288" s="7">
        <v>72235</v>
      </c>
      <c r="N288" s="8">
        <v>0</v>
      </c>
      <c r="O288" t="s">
        <v>52</v>
      </c>
      <c r="P288" t="s">
        <v>81</v>
      </c>
      <c r="Q288" s="1" t="s">
        <v>21</v>
      </c>
    </row>
    <row r="289" spans="1:17" x14ac:dyDescent="0.35">
      <c r="A289" t="s">
        <v>876</v>
      </c>
      <c r="B289" t="s">
        <v>877</v>
      </c>
      <c r="C289" t="s">
        <v>42</v>
      </c>
      <c r="D289" t="s">
        <v>65</v>
      </c>
      <c r="E289" t="s">
        <v>32</v>
      </c>
      <c r="F289" t="s">
        <v>17</v>
      </c>
      <c r="G289" t="s">
        <v>51</v>
      </c>
      <c r="H289">
        <v>41</v>
      </c>
      <c r="I289" t="str">
        <f>IF(TBL[[#This Row],[Age]]&gt;=60, "Old", IF(TBL[[#This Row],[Age]]&gt;=30, "Adult", "Young"))</f>
        <v>Adult</v>
      </c>
      <c r="J289" s="1">
        <v>42533</v>
      </c>
      <c r="K289">
        <f t="shared" si="4"/>
        <v>2016</v>
      </c>
      <c r="L289">
        <f>MONTH(TBL[[#This Row],[Hire Date]])</f>
        <v>6</v>
      </c>
      <c r="M289" s="7">
        <v>70165</v>
      </c>
      <c r="N289" s="8">
        <v>0</v>
      </c>
      <c r="O289" t="s">
        <v>19</v>
      </c>
      <c r="P289" t="s">
        <v>29</v>
      </c>
      <c r="Q289" s="1" t="s">
        <v>21</v>
      </c>
    </row>
    <row r="290" spans="1:17" x14ac:dyDescent="0.35">
      <c r="A290" t="s">
        <v>878</v>
      </c>
      <c r="B290" t="s">
        <v>879</v>
      </c>
      <c r="C290" t="s">
        <v>61</v>
      </c>
      <c r="D290" t="s">
        <v>43</v>
      </c>
      <c r="E290" t="s">
        <v>44</v>
      </c>
      <c r="F290" t="s">
        <v>28</v>
      </c>
      <c r="G290" t="s">
        <v>18</v>
      </c>
      <c r="H290">
        <v>30</v>
      </c>
      <c r="I290" t="str">
        <f>IF(TBL[[#This Row],[Age]]&gt;=60, "Old", IF(TBL[[#This Row],[Age]]&gt;=30, "Adult", "Young"))</f>
        <v>Adult</v>
      </c>
      <c r="J290" s="1">
        <v>44030</v>
      </c>
      <c r="K290">
        <f t="shared" si="4"/>
        <v>2020</v>
      </c>
      <c r="L290">
        <f>MONTH(TBL[[#This Row],[Hire Date]])</f>
        <v>7</v>
      </c>
      <c r="M290" s="7">
        <v>148485</v>
      </c>
      <c r="N290" s="8">
        <v>0.15</v>
      </c>
      <c r="O290" t="s">
        <v>19</v>
      </c>
      <c r="P290" t="s">
        <v>45</v>
      </c>
      <c r="Q290" s="1" t="s">
        <v>21</v>
      </c>
    </row>
    <row r="291" spans="1:17" x14ac:dyDescent="0.35">
      <c r="A291" t="s">
        <v>880</v>
      </c>
      <c r="B291" t="s">
        <v>881</v>
      </c>
      <c r="C291" t="s">
        <v>55</v>
      </c>
      <c r="D291" t="s">
        <v>27</v>
      </c>
      <c r="E291" t="s">
        <v>36</v>
      </c>
      <c r="F291" t="s">
        <v>17</v>
      </c>
      <c r="G291" t="s">
        <v>24</v>
      </c>
      <c r="H291">
        <v>58</v>
      </c>
      <c r="I291" t="str">
        <f>IF(TBL[[#This Row],[Age]]&gt;=60, "Old", IF(TBL[[#This Row],[Age]]&gt;=30, "Adult", "Young"))</f>
        <v>Adult</v>
      </c>
      <c r="J291" s="1">
        <v>38521</v>
      </c>
      <c r="K291">
        <f t="shared" si="4"/>
        <v>2005</v>
      </c>
      <c r="L291">
        <f>MONTH(TBL[[#This Row],[Hire Date]])</f>
        <v>6</v>
      </c>
      <c r="M291" s="7">
        <v>86089</v>
      </c>
      <c r="N291" s="8">
        <v>0</v>
      </c>
      <c r="O291" t="s">
        <v>19</v>
      </c>
      <c r="P291" t="s">
        <v>20</v>
      </c>
      <c r="Q291" s="1" t="s">
        <v>21</v>
      </c>
    </row>
    <row r="292" spans="1:17" x14ac:dyDescent="0.35">
      <c r="A292" t="s">
        <v>882</v>
      </c>
      <c r="B292" t="s">
        <v>883</v>
      </c>
      <c r="C292" t="s">
        <v>97</v>
      </c>
      <c r="D292" t="s">
        <v>31</v>
      </c>
      <c r="E292" t="s">
        <v>16</v>
      </c>
      <c r="F292" t="s">
        <v>28</v>
      </c>
      <c r="G292" t="s">
        <v>51</v>
      </c>
      <c r="H292">
        <v>54</v>
      </c>
      <c r="I292" t="str">
        <f>IF(TBL[[#This Row],[Age]]&gt;=60, "Old", IF(TBL[[#This Row],[Age]]&gt;=30, "Adult", "Young"))</f>
        <v>Adult</v>
      </c>
      <c r="J292" s="1">
        <v>39382</v>
      </c>
      <c r="K292">
        <f t="shared" si="4"/>
        <v>2007</v>
      </c>
      <c r="L292">
        <f>MONTH(TBL[[#This Row],[Hire Date]])</f>
        <v>10</v>
      </c>
      <c r="M292" s="7">
        <v>106313</v>
      </c>
      <c r="N292" s="8">
        <v>0.15</v>
      </c>
      <c r="O292" t="s">
        <v>19</v>
      </c>
      <c r="P292" t="s">
        <v>20</v>
      </c>
      <c r="Q292" s="1" t="s">
        <v>21</v>
      </c>
    </row>
    <row r="293" spans="1:17" x14ac:dyDescent="0.35">
      <c r="A293" t="s">
        <v>199</v>
      </c>
      <c r="B293" t="s">
        <v>884</v>
      </c>
      <c r="C293" t="s">
        <v>68</v>
      </c>
      <c r="D293" t="s">
        <v>43</v>
      </c>
      <c r="E293" t="s">
        <v>16</v>
      </c>
      <c r="F293" t="s">
        <v>17</v>
      </c>
      <c r="G293" t="s">
        <v>24</v>
      </c>
      <c r="H293">
        <v>40</v>
      </c>
      <c r="I293" t="str">
        <f>IF(TBL[[#This Row],[Age]]&gt;=60, "Old", IF(TBL[[#This Row],[Age]]&gt;=30, "Adult", "Young"))</f>
        <v>Adult</v>
      </c>
      <c r="J293" s="1">
        <v>44251</v>
      </c>
      <c r="K293">
        <f t="shared" si="4"/>
        <v>2021</v>
      </c>
      <c r="L293">
        <f>MONTH(TBL[[#This Row],[Hire Date]])</f>
        <v>2</v>
      </c>
      <c r="M293" s="7">
        <v>46833</v>
      </c>
      <c r="N293" s="8">
        <v>0</v>
      </c>
      <c r="O293" t="s">
        <v>33</v>
      </c>
      <c r="P293" t="s">
        <v>34</v>
      </c>
      <c r="Q293" s="1">
        <v>44510</v>
      </c>
    </row>
    <row r="294" spans="1:17" x14ac:dyDescent="0.35">
      <c r="A294" t="s">
        <v>294</v>
      </c>
      <c r="B294" t="s">
        <v>885</v>
      </c>
      <c r="C294" t="s">
        <v>40</v>
      </c>
      <c r="D294" t="s">
        <v>15</v>
      </c>
      <c r="E294" t="s">
        <v>16</v>
      </c>
      <c r="F294" t="s">
        <v>17</v>
      </c>
      <c r="G294" t="s">
        <v>24</v>
      </c>
      <c r="H294">
        <v>63</v>
      </c>
      <c r="I294" t="str">
        <f>IF(TBL[[#This Row],[Age]]&gt;=60, "Old", IF(TBL[[#This Row],[Age]]&gt;=30, "Adult", "Young"))</f>
        <v>Old</v>
      </c>
      <c r="J294" s="1">
        <v>36826</v>
      </c>
      <c r="K294">
        <f t="shared" si="4"/>
        <v>2000</v>
      </c>
      <c r="L294">
        <f>MONTH(TBL[[#This Row],[Hire Date]])</f>
        <v>10</v>
      </c>
      <c r="M294" s="7">
        <v>155320</v>
      </c>
      <c r="N294" s="8">
        <v>0.17</v>
      </c>
      <c r="O294" t="s">
        <v>33</v>
      </c>
      <c r="P294" t="s">
        <v>80</v>
      </c>
      <c r="Q294" s="1" t="s">
        <v>21</v>
      </c>
    </row>
    <row r="295" spans="1:17" x14ac:dyDescent="0.35">
      <c r="A295" t="s">
        <v>886</v>
      </c>
      <c r="B295" t="s">
        <v>887</v>
      </c>
      <c r="C295" t="s">
        <v>42</v>
      </c>
      <c r="D295" t="s">
        <v>65</v>
      </c>
      <c r="E295" t="s">
        <v>36</v>
      </c>
      <c r="F295" t="s">
        <v>28</v>
      </c>
      <c r="G295" t="s">
        <v>24</v>
      </c>
      <c r="H295">
        <v>40</v>
      </c>
      <c r="I295" t="str">
        <f>IF(TBL[[#This Row],[Age]]&gt;=60, "Old", IF(TBL[[#This Row],[Age]]&gt;=30, "Adult", "Young"))</f>
        <v>Adult</v>
      </c>
      <c r="J295" s="1">
        <v>42384</v>
      </c>
      <c r="K295">
        <f t="shared" si="4"/>
        <v>2016</v>
      </c>
      <c r="L295">
        <f>MONTH(TBL[[#This Row],[Hire Date]])</f>
        <v>1</v>
      </c>
      <c r="M295" s="7">
        <v>89984</v>
      </c>
      <c r="N295" s="8">
        <v>0</v>
      </c>
      <c r="O295" t="s">
        <v>33</v>
      </c>
      <c r="P295" t="s">
        <v>34</v>
      </c>
      <c r="Q295" s="1" t="s">
        <v>21</v>
      </c>
    </row>
    <row r="296" spans="1:17" x14ac:dyDescent="0.35">
      <c r="A296" t="s">
        <v>888</v>
      </c>
      <c r="B296" t="s">
        <v>889</v>
      </c>
      <c r="C296" t="s">
        <v>97</v>
      </c>
      <c r="D296" t="s">
        <v>31</v>
      </c>
      <c r="E296" t="s">
        <v>44</v>
      </c>
      <c r="F296" t="s">
        <v>17</v>
      </c>
      <c r="G296" t="s">
        <v>24</v>
      </c>
      <c r="H296">
        <v>65</v>
      </c>
      <c r="I296" t="str">
        <f>IF(TBL[[#This Row],[Age]]&gt;=60, "Old", IF(TBL[[#This Row],[Age]]&gt;=30, "Adult", "Young"))</f>
        <v>Old</v>
      </c>
      <c r="J296" s="1">
        <v>38792</v>
      </c>
      <c r="K296">
        <f t="shared" si="4"/>
        <v>2006</v>
      </c>
      <c r="L296">
        <f>MONTH(TBL[[#This Row],[Hire Date]])</f>
        <v>3</v>
      </c>
      <c r="M296" s="7">
        <v>83756</v>
      </c>
      <c r="N296" s="8">
        <v>0.14000000000000001</v>
      </c>
      <c r="O296" t="s">
        <v>33</v>
      </c>
      <c r="P296" t="s">
        <v>74</v>
      </c>
      <c r="Q296" s="1" t="s">
        <v>21</v>
      </c>
    </row>
    <row r="297" spans="1:17" x14ac:dyDescent="0.35">
      <c r="A297" t="s">
        <v>890</v>
      </c>
      <c r="B297" t="s">
        <v>891</v>
      </c>
      <c r="C297" t="s">
        <v>40</v>
      </c>
      <c r="D297" t="s">
        <v>23</v>
      </c>
      <c r="E297" t="s">
        <v>32</v>
      </c>
      <c r="F297" t="s">
        <v>17</v>
      </c>
      <c r="G297" t="s">
        <v>24</v>
      </c>
      <c r="H297">
        <v>57</v>
      </c>
      <c r="I297" t="str">
        <f>IF(TBL[[#This Row],[Age]]&gt;=60, "Old", IF(TBL[[#This Row],[Age]]&gt;=30, "Adult", "Young"))</f>
        <v>Adult</v>
      </c>
      <c r="J297" s="1">
        <v>42667</v>
      </c>
      <c r="K297">
        <f t="shared" si="4"/>
        <v>2016</v>
      </c>
      <c r="L297">
        <f>MONTH(TBL[[#This Row],[Hire Date]])</f>
        <v>10</v>
      </c>
      <c r="M297" s="7">
        <v>176324</v>
      </c>
      <c r="N297" s="8">
        <v>0.23</v>
      </c>
      <c r="O297" t="s">
        <v>33</v>
      </c>
      <c r="P297" t="s">
        <v>74</v>
      </c>
      <c r="Q297" s="1" t="s">
        <v>21</v>
      </c>
    </row>
    <row r="298" spans="1:17" x14ac:dyDescent="0.35">
      <c r="A298" t="s">
        <v>892</v>
      </c>
      <c r="B298" t="s">
        <v>893</v>
      </c>
      <c r="C298" t="s">
        <v>42</v>
      </c>
      <c r="D298" t="s">
        <v>65</v>
      </c>
      <c r="E298" t="s">
        <v>44</v>
      </c>
      <c r="F298" t="s">
        <v>28</v>
      </c>
      <c r="G298" t="s">
        <v>18</v>
      </c>
      <c r="H298">
        <v>27</v>
      </c>
      <c r="I298" t="str">
        <f>IF(TBL[[#This Row],[Age]]&gt;=60, "Old", IF(TBL[[#This Row],[Age]]&gt;=30, "Adult", "Young"))</f>
        <v>Young</v>
      </c>
      <c r="J298" s="1">
        <v>44482</v>
      </c>
      <c r="K298">
        <f t="shared" si="4"/>
        <v>2021</v>
      </c>
      <c r="L298">
        <f>MONTH(TBL[[#This Row],[Hire Date]])</f>
        <v>10</v>
      </c>
      <c r="M298" s="7">
        <v>74077</v>
      </c>
      <c r="N298" s="8">
        <v>0</v>
      </c>
      <c r="O298" t="s">
        <v>19</v>
      </c>
      <c r="P298" t="s">
        <v>63</v>
      </c>
      <c r="Q298" s="1" t="s">
        <v>21</v>
      </c>
    </row>
    <row r="299" spans="1:17" x14ac:dyDescent="0.35">
      <c r="A299" t="s">
        <v>894</v>
      </c>
      <c r="B299" t="s">
        <v>895</v>
      </c>
      <c r="C299" t="s">
        <v>62</v>
      </c>
      <c r="D299" t="s">
        <v>23</v>
      </c>
      <c r="E299" t="s">
        <v>36</v>
      </c>
      <c r="F299" t="s">
        <v>17</v>
      </c>
      <c r="G299" t="s">
        <v>18</v>
      </c>
      <c r="H299">
        <v>31</v>
      </c>
      <c r="I299" t="str">
        <f>IF(TBL[[#This Row],[Age]]&gt;=60, "Old", IF(TBL[[#This Row],[Age]]&gt;=30, "Adult", "Young"))</f>
        <v>Adult</v>
      </c>
      <c r="J299" s="1">
        <v>44214</v>
      </c>
      <c r="K299">
        <f t="shared" si="4"/>
        <v>2021</v>
      </c>
      <c r="L299">
        <f>MONTH(TBL[[#This Row],[Hire Date]])</f>
        <v>1</v>
      </c>
      <c r="M299" s="7">
        <v>104162</v>
      </c>
      <c r="N299" s="8">
        <v>7.0000000000000007E-2</v>
      </c>
      <c r="O299" t="s">
        <v>19</v>
      </c>
      <c r="P299" t="s">
        <v>25</v>
      </c>
      <c r="Q299" s="1" t="s">
        <v>21</v>
      </c>
    </row>
    <row r="300" spans="1:17" x14ac:dyDescent="0.35">
      <c r="A300" t="s">
        <v>381</v>
      </c>
      <c r="B300" t="s">
        <v>896</v>
      </c>
      <c r="C300" t="s">
        <v>91</v>
      </c>
      <c r="D300" t="s">
        <v>27</v>
      </c>
      <c r="E300" t="s">
        <v>32</v>
      </c>
      <c r="F300" t="s">
        <v>17</v>
      </c>
      <c r="G300" t="s">
        <v>24</v>
      </c>
      <c r="H300">
        <v>45</v>
      </c>
      <c r="I300" t="str">
        <f>IF(TBL[[#This Row],[Age]]&gt;=60, "Old", IF(TBL[[#This Row],[Age]]&gt;=30, "Adult", "Young"))</f>
        <v>Adult</v>
      </c>
      <c r="J300" s="1">
        <v>40418</v>
      </c>
      <c r="K300">
        <f t="shared" si="4"/>
        <v>2010</v>
      </c>
      <c r="L300">
        <f>MONTH(TBL[[#This Row],[Hire Date]])</f>
        <v>8</v>
      </c>
      <c r="M300" s="7">
        <v>82162</v>
      </c>
      <c r="N300" s="8">
        <v>0</v>
      </c>
      <c r="O300" t="s">
        <v>33</v>
      </c>
      <c r="P300" t="s">
        <v>60</v>
      </c>
      <c r="Q300" s="1">
        <v>44107</v>
      </c>
    </row>
    <row r="301" spans="1:17" x14ac:dyDescent="0.35">
      <c r="A301" t="s">
        <v>370</v>
      </c>
      <c r="B301" t="s">
        <v>897</v>
      </c>
      <c r="C301" t="s">
        <v>94</v>
      </c>
      <c r="D301" t="s">
        <v>50</v>
      </c>
      <c r="E301" t="s">
        <v>44</v>
      </c>
      <c r="F301" t="s">
        <v>17</v>
      </c>
      <c r="G301" t="s">
        <v>24</v>
      </c>
      <c r="H301">
        <v>47</v>
      </c>
      <c r="I301" t="str">
        <f>IF(TBL[[#This Row],[Age]]&gt;=60, "Old", IF(TBL[[#This Row],[Age]]&gt;=30, "Adult", "Young"))</f>
        <v>Adult</v>
      </c>
      <c r="J301" s="1">
        <v>42195</v>
      </c>
      <c r="K301">
        <f t="shared" si="4"/>
        <v>2015</v>
      </c>
      <c r="L301">
        <f>MONTH(TBL[[#This Row],[Hire Date]])</f>
        <v>7</v>
      </c>
      <c r="M301" s="7">
        <v>63880</v>
      </c>
      <c r="N301" s="8">
        <v>0</v>
      </c>
      <c r="O301" t="s">
        <v>33</v>
      </c>
      <c r="P301" t="s">
        <v>80</v>
      </c>
      <c r="Q301" s="1" t="s">
        <v>21</v>
      </c>
    </row>
    <row r="302" spans="1:17" x14ac:dyDescent="0.35">
      <c r="A302" t="s">
        <v>387</v>
      </c>
      <c r="B302" t="s">
        <v>378</v>
      </c>
      <c r="C302" t="s">
        <v>58</v>
      </c>
      <c r="D302" t="s">
        <v>31</v>
      </c>
      <c r="E302" t="s">
        <v>16</v>
      </c>
      <c r="F302" t="s">
        <v>17</v>
      </c>
      <c r="G302" t="s">
        <v>24</v>
      </c>
      <c r="H302">
        <v>55</v>
      </c>
      <c r="I302" t="str">
        <f>IF(TBL[[#This Row],[Age]]&gt;=60, "Old", IF(TBL[[#This Row],[Age]]&gt;=30, "Adult", "Young"))</f>
        <v>Adult</v>
      </c>
      <c r="J302" s="1">
        <v>41525</v>
      </c>
      <c r="K302">
        <f t="shared" si="4"/>
        <v>2013</v>
      </c>
      <c r="L302">
        <f>MONTH(TBL[[#This Row],[Hire Date]])</f>
        <v>9</v>
      </c>
      <c r="M302" s="7">
        <v>73248</v>
      </c>
      <c r="N302" s="8">
        <v>0</v>
      </c>
      <c r="O302" t="s">
        <v>19</v>
      </c>
      <c r="P302" t="s">
        <v>29</v>
      </c>
      <c r="Q302" s="1" t="s">
        <v>21</v>
      </c>
    </row>
    <row r="303" spans="1:17" x14ac:dyDescent="0.35">
      <c r="A303" t="s">
        <v>898</v>
      </c>
      <c r="B303" t="s">
        <v>899</v>
      </c>
      <c r="C303" t="s">
        <v>42</v>
      </c>
      <c r="D303" t="s">
        <v>65</v>
      </c>
      <c r="E303" t="s">
        <v>36</v>
      </c>
      <c r="F303" t="s">
        <v>28</v>
      </c>
      <c r="G303" t="s">
        <v>47</v>
      </c>
      <c r="H303">
        <v>51</v>
      </c>
      <c r="I303" t="str">
        <f>IF(TBL[[#This Row],[Age]]&gt;=60, "Old", IF(TBL[[#This Row],[Age]]&gt;=30, "Adult", "Young"))</f>
        <v>Adult</v>
      </c>
      <c r="J303" s="1">
        <v>44113</v>
      </c>
      <c r="K303">
        <f t="shared" si="4"/>
        <v>2020</v>
      </c>
      <c r="L303">
        <f>MONTH(TBL[[#This Row],[Hire Date]])</f>
        <v>10</v>
      </c>
      <c r="M303" s="7">
        <v>91853</v>
      </c>
      <c r="N303" s="8">
        <v>0</v>
      </c>
      <c r="O303" t="s">
        <v>19</v>
      </c>
      <c r="P303" t="s">
        <v>20</v>
      </c>
      <c r="Q303" s="1" t="s">
        <v>21</v>
      </c>
    </row>
    <row r="304" spans="1:17" x14ac:dyDescent="0.35">
      <c r="A304" t="s">
        <v>900</v>
      </c>
      <c r="B304" t="s">
        <v>901</v>
      </c>
      <c r="C304" t="s">
        <v>40</v>
      </c>
      <c r="D304" t="s">
        <v>15</v>
      </c>
      <c r="E304" t="s">
        <v>44</v>
      </c>
      <c r="F304" t="s">
        <v>28</v>
      </c>
      <c r="G304" t="s">
        <v>18</v>
      </c>
      <c r="H304">
        <v>25</v>
      </c>
      <c r="I304" t="str">
        <f>IF(TBL[[#This Row],[Age]]&gt;=60, "Old", IF(TBL[[#This Row],[Age]]&gt;=30, "Adult", "Young"))</f>
        <v>Young</v>
      </c>
      <c r="J304" s="1">
        <v>43844</v>
      </c>
      <c r="K304">
        <f t="shared" si="4"/>
        <v>2020</v>
      </c>
      <c r="L304">
        <f>MONTH(TBL[[#This Row],[Hire Date]])</f>
        <v>1</v>
      </c>
      <c r="M304" s="7">
        <v>168014</v>
      </c>
      <c r="N304" s="8">
        <v>0.27</v>
      </c>
      <c r="O304" t="s">
        <v>19</v>
      </c>
      <c r="P304" t="s">
        <v>20</v>
      </c>
      <c r="Q304" s="1">
        <v>44404</v>
      </c>
    </row>
    <row r="305" spans="1:17" x14ac:dyDescent="0.35">
      <c r="A305" t="s">
        <v>305</v>
      </c>
      <c r="B305" t="s">
        <v>902</v>
      </c>
      <c r="C305" t="s">
        <v>86</v>
      </c>
      <c r="D305" t="s">
        <v>31</v>
      </c>
      <c r="E305" t="s">
        <v>32</v>
      </c>
      <c r="F305" t="s">
        <v>17</v>
      </c>
      <c r="G305" t="s">
        <v>18</v>
      </c>
      <c r="H305">
        <v>37</v>
      </c>
      <c r="I305" t="str">
        <f>IF(TBL[[#This Row],[Age]]&gt;=60, "Old", IF(TBL[[#This Row],[Age]]&gt;=30, "Adult", "Young"))</f>
        <v>Adult</v>
      </c>
      <c r="J305" s="1">
        <v>42995</v>
      </c>
      <c r="K305">
        <f t="shared" si="4"/>
        <v>2017</v>
      </c>
      <c r="L305">
        <f>MONTH(TBL[[#This Row],[Hire Date]])</f>
        <v>9</v>
      </c>
      <c r="M305" s="7">
        <v>70770</v>
      </c>
      <c r="N305" s="8">
        <v>0</v>
      </c>
      <c r="O305" t="s">
        <v>19</v>
      </c>
      <c r="P305" t="s">
        <v>45</v>
      </c>
      <c r="Q305" s="1" t="s">
        <v>21</v>
      </c>
    </row>
    <row r="306" spans="1:17" x14ac:dyDescent="0.35">
      <c r="A306" t="s">
        <v>316</v>
      </c>
      <c r="B306" t="s">
        <v>903</v>
      </c>
      <c r="C306" t="s">
        <v>22</v>
      </c>
      <c r="D306" t="s">
        <v>23</v>
      </c>
      <c r="E306" t="s">
        <v>32</v>
      </c>
      <c r="F306" t="s">
        <v>28</v>
      </c>
      <c r="G306" t="s">
        <v>18</v>
      </c>
      <c r="H306">
        <v>62</v>
      </c>
      <c r="I306" t="str">
        <f>IF(TBL[[#This Row],[Age]]&gt;=60, "Old", IF(TBL[[#This Row],[Age]]&gt;=30, "Adult", "Young"))</f>
        <v>Old</v>
      </c>
      <c r="J306" s="1">
        <v>38271</v>
      </c>
      <c r="K306">
        <f t="shared" si="4"/>
        <v>2004</v>
      </c>
      <c r="L306">
        <f>MONTH(TBL[[#This Row],[Hire Date]])</f>
        <v>10</v>
      </c>
      <c r="M306" s="7">
        <v>50825</v>
      </c>
      <c r="N306" s="8">
        <v>0</v>
      </c>
      <c r="O306" t="s">
        <v>19</v>
      </c>
      <c r="P306" t="s">
        <v>63</v>
      </c>
      <c r="Q306" s="1" t="s">
        <v>21</v>
      </c>
    </row>
    <row r="307" spans="1:17" x14ac:dyDescent="0.35">
      <c r="A307" t="s">
        <v>904</v>
      </c>
      <c r="B307" t="s">
        <v>905</v>
      </c>
      <c r="C307" t="s">
        <v>61</v>
      </c>
      <c r="D307" t="s">
        <v>15</v>
      </c>
      <c r="E307" t="s">
        <v>16</v>
      </c>
      <c r="F307" t="s">
        <v>28</v>
      </c>
      <c r="G307" t="s">
        <v>51</v>
      </c>
      <c r="H307">
        <v>31</v>
      </c>
      <c r="I307" t="str">
        <f>IF(TBL[[#This Row],[Age]]&gt;=60, "Old", IF(TBL[[#This Row],[Age]]&gt;=30, "Adult", "Young"))</f>
        <v>Adult</v>
      </c>
      <c r="J307" s="1">
        <v>42266</v>
      </c>
      <c r="K307">
        <f t="shared" si="4"/>
        <v>2015</v>
      </c>
      <c r="L307">
        <f>MONTH(TBL[[#This Row],[Hire Date]])</f>
        <v>9</v>
      </c>
      <c r="M307" s="7">
        <v>145846</v>
      </c>
      <c r="N307" s="8">
        <v>0.15</v>
      </c>
      <c r="O307" t="s">
        <v>52</v>
      </c>
      <c r="P307" t="s">
        <v>81</v>
      </c>
      <c r="Q307" s="1" t="s">
        <v>21</v>
      </c>
    </row>
    <row r="308" spans="1:17" x14ac:dyDescent="0.35">
      <c r="A308" t="s">
        <v>274</v>
      </c>
      <c r="B308" t="s">
        <v>906</v>
      </c>
      <c r="C308" t="s">
        <v>61</v>
      </c>
      <c r="D308" t="s">
        <v>23</v>
      </c>
      <c r="E308" t="s">
        <v>16</v>
      </c>
      <c r="F308" t="s">
        <v>17</v>
      </c>
      <c r="G308" t="s">
        <v>24</v>
      </c>
      <c r="H308">
        <v>64</v>
      </c>
      <c r="I308" t="str">
        <f>IF(TBL[[#This Row],[Age]]&gt;=60, "Old", IF(TBL[[#This Row],[Age]]&gt;=30, "Adult", "Young"))</f>
        <v>Old</v>
      </c>
      <c r="J308" s="1">
        <v>37962</v>
      </c>
      <c r="K308">
        <f t="shared" si="4"/>
        <v>2003</v>
      </c>
      <c r="L308">
        <f>MONTH(TBL[[#This Row],[Hire Date]])</f>
        <v>12</v>
      </c>
      <c r="M308" s="7">
        <v>125807</v>
      </c>
      <c r="N308" s="8">
        <v>0.15</v>
      </c>
      <c r="O308" t="s">
        <v>19</v>
      </c>
      <c r="P308" t="s">
        <v>20</v>
      </c>
      <c r="Q308" s="1" t="s">
        <v>21</v>
      </c>
    </row>
    <row r="309" spans="1:17" x14ac:dyDescent="0.35">
      <c r="A309" t="s">
        <v>179</v>
      </c>
      <c r="B309" t="s">
        <v>907</v>
      </c>
      <c r="C309" t="s">
        <v>68</v>
      </c>
      <c r="D309" t="s">
        <v>50</v>
      </c>
      <c r="E309" t="s">
        <v>44</v>
      </c>
      <c r="F309" t="s">
        <v>28</v>
      </c>
      <c r="G309" t="s">
        <v>24</v>
      </c>
      <c r="H309">
        <v>25</v>
      </c>
      <c r="I309" t="str">
        <f>IF(TBL[[#This Row],[Age]]&gt;=60, "Old", IF(TBL[[#This Row],[Age]]&gt;=30, "Adult", "Young"))</f>
        <v>Young</v>
      </c>
      <c r="J309" s="1">
        <v>44405</v>
      </c>
      <c r="K309">
        <f t="shared" si="4"/>
        <v>2021</v>
      </c>
      <c r="L309">
        <f>MONTH(TBL[[#This Row],[Hire Date]])</f>
        <v>7</v>
      </c>
      <c r="M309" s="7">
        <v>46845</v>
      </c>
      <c r="N309" s="8">
        <v>0</v>
      </c>
      <c r="O309" t="s">
        <v>19</v>
      </c>
      <c r="P309" t="s">
        <v>45</v>
      </c>
      <c r="Q309" s="1" t="s">
        <v>21</v>
      </c>
    </row>
    <row r="310" spans="1:17" x14ac:dyDescent="0.35">
      <c r="A310" t="s">
        <v>908</v>
      </c>
      <c r="B310" t="s">
        <v>909</v>
      </c>
      <c r="C310" t="s">
        <v>61</v>
      </c>
      <c r="D310" t="s">
        <v>43</v>
      </c>
      <c r="E310" t="s">
        <v>32</v>
      </c>
      <c r="F310" t="s">
        <v>17</v>
      </c>
      <c r="G310" t="s">
        <v>24</v>
      </c>
      <c r="H310">
        <v>59</v>
      </c>
      <c r="I310" t="str">
        <f>IF(TBL[[#This Row],[Age]]&gt;=60, "Old", IF(TBL[[#This Row],[Age]]&gt;=30, "Adult", "Young"))</f>
        <v>Adult</v>
      </c>
      <c r="J310" s="1">
        <v>39689</v>
      </c>
      <c r="K310">
        <f t="shared" si="4"/>
        <v>2008</v>
      </c>
      <c r="L310">
        <f>MONTH(TBL[[#This Row],[Hire Date]])</f>
        <v>8</v>
      </c>
      <c r="M310" s="7">
        <v>157969</v>
      </c>
      <c r="N310" s="8">
        <v>0.1</v>
      </c>
      <c r="O310" t="s">
        <v>33</v>
      </c>
      <c r="P310" t="s">
        <v>80</v>
      </c>
      <c r="Q310" s="1" t="s">
        <v>21</v>
      </c>
    </row>
    <row r="311" spans="1:17" x14ac:dyDescent="0.35">
      <c r="A311" t="s">
        <v>910</v>
      </c>
      <c r="B311" t="s">
        <v>911</v>
      </c>
      <c r="C311" t="s">
        <v>88</v>
      </c>
      <c r="D311" t="s">
        <v>27</v>
      </c>
      <c r="E311" t="s">
        <v>32</v>
      </c>
      <c r="F311" t="s">
        <v>17</v>
      </c>
      <c r="G311" t="s">
        <v>18</v>
      </c>
      <c r="H311">
        <v>40</v>
      </c>
      <c r="I311" t="str">
        <f>IF(TBL[[#This Row],[Age]]&gt;=60, "Old", IF(TBL[[#This Row],[Age]]&gt;=30, "Adult", "Young"))</f>
        <v>Adult</v>
      </c>
      <c r="J311" s="1">
        <v>40522</v>
      </c>
      <c r="K311">
        <f t="shared" si="4"/>
        <v>2010</v>
      </c>
      <c r="L311">
        <f>MONTH(TBL[[#This Row],[Hire Date]])</f>
        <v>12</v>
      </c>
      <c r="M311" s="7">
        <v>97807</v>
      </c>
      <c r="N311" s="8">
        <v>0</v>
      </c>
      <c r="O311" t="s">
        <v>19</v>
      </c>
      <c r="P311" t="s">
        <v>20</v>
      </c>
      <c r="Q311" s="1" t="s">
        <v>21</v>
      </c>
    </row>
    <row r="312" spans="1:17" x14ac:dyDescent="0.35">
      <c r="A312" t="s">
        <v>79</v>
      </c>
      <c r="B312" t="s">
        <v>912</v>
      </c>
      <c r="C312" t="s">
        <v>22</v>
      </c>
      <c r="D312" t="s">
        <v>23</v>
      </c>
      <c r="E312" t="s">
        <v>36</v>
      </c>
      <c r="F312" t="s">
        <v>28</v>
      </c>
      <c r="G312" t="s">
        <v>51</v>
      </c>
      <c r="H312">
        <v>31</v>
      </c>
      <c r="I312" t="str">
        <f>IF(TBL[[#This Row],[Age]]&gt;=60, "Old", IF(TBL[[#This Row],[Age]]&gt;=30, "Adult", "Young"))</f>
        <v>Adult</v>
      </c>
      <c r="J312" s="1">
        <v>42347</v>
      </c>
      <c r="K312">
        <f t="shared" si="4"/>
        <v>2015</v>
      </c>
      <c r="L312">
        <f>MONTH(TBL[[#This Row],[Hire Date]])</f>
        <v>12</v>
      </c>
      <c r="M312" s="7">
        <v>73854</v>
      </c>
      <c r="N312" s="8">
        <v>0</v>
      </c>
      <c r="O312" t="s">
        <v>19</v>
      </c>
      <c r="P312" t="s">
        <v>63</v>
      </c>
      <c r="Q312" s="1" t="s">
        <v>21</v>
      </c>
    </row>
    <row r="313" spans="1:17" x14ac:dyDescent="0.35">
      <c r="A313" t="s">
        <v>913</v>
      </c>
      <c r="B313" t="s">
        <v>914</v>
      </c>
      <c r="C313" t="s">
        <v>61</v>
      </c>
      <c r="D313" t="s">
        <v>65</v>
      </c>
      <c r="E313" t="s">
        <v>36</v>
      </c>
      <c r="F313" t="s">
        <v>28</v>
      </c>
      <c r="G313" t="s">
        <v>24</v>
      </c>
      <c r="H313">
        <v>45</v>
      </c>
      <c r="I313" t="str">
        <f>IF(TBL[[#This Row],[Age]]&gt;=60, "Old", IF(TBL[[#This Row],[Age]]&gt;=30, "Adult", "Young"))</f>
        <v>Adult</v>
      </c>
      <c r="J313" s="1">
        <v>39063</v>
      </c>
      <c r="K313">
        <f t="shared" si="4"/>
        <v>2006</v>
      </c>
      <c r="L313">
        <f>MONTH(TBL[[#This Row],[Hire Date]])</f>
        <v>12</v>
      </c>
      <c r="M313" s="7">
        <v>149537</v>
      </c>
      <c r="N313" s="8">
        <v>0.14000000000000001</v>
      </c>
      <c r="O313" t="s">
        <v>19</v>
      </c>
      <c r="P313" t="s">
        <v>63</v>
      </c>
      <c r="Q313" s="1" t="s">
        <v>21</v>
      </c>
    </row>
    <row r="314" spans="1:17" x14ac:dyDescent="0.35">
      <c r="A314" t="s">
        <v>915</v>
      </c>
      <c r="B314" t="s">
        <v>916</v>
      </c>
      <c r="C314" t="s">
        <v>61</v>
      </c>
      <c r="D314" t="s">
        <v>50</v>
      </c>
      <c r="E314" t="s">
        <v>36</v>
      </c>
      <c r="F314" t="s">
        <v>17</v>
      </c>
      <c r="G314" t="s">
        <v>18</v>
      </c>
      <c r="H314">
        <v>49</v>
      </c>
      <c r="I314" t="str">
        <f>IF(TBL[[#This Row],[Age]]&gt;=60, "Old", IF(TBL[[#This Row],[Age]]&gt;=30, "Adult", "Young"))</f>
        <v>Adult</v>
      </c>
      <c r="J314" s="1">
        <v>41379</v>
      </c>
      <c r="K314">
        <f t="shared" si="4"/>
        <v>2013</v>
      </c>
      <c r="L314">
        <f>MONTH(TBL[[#This Row],[Hire Date]])</f>
        <v>4</v>
      </c>
      <c r="M314" s="7">
        <v>128303</v>
      </c>
      <c r="N314" s="8">
        <v>0.15</v>
      </c>
      <c r="O314" t="s">
        <v>19</v>
      </c>
      <c r="P314" t="s">
        <v>39</v>
      </c>
      <c r="Q314" s="1" t="s">
        <v>21</v>
      </c>
    </row>
    <row r="315" spans="1:17" x14ac:dyDescent="0.35">
      <c r="A315" t="s">
        <v>216</v>
      </c>
      <c r="B315" t="s">
        <v>917</v>
      </c>
      <c r="C315" t="s">
        <v>71</v>
      </c>
      <c r="D315" t="s">
        <v>27</v>
      </c>
      <c r="E315" t="s">
        <v>44</v>
      </c>
      <c r="F315" t="s">
        <v>28</v>
      </c>
      <c r="G315" t="s">
        <v>47</v>
      </c>
      <c r="H315">
        <v>46</v>
      </c>
      <c r="I315" t="str">
        <f>IF(TBL[[#This Row],[Age]]&gt;=60, "Old", IF(TBL[[#This Row],[Age]]&gt;=30, "Adult", "Young"))</f>
        <v>Adult</v>
      </c>
      <c r="J315" s="1">
        <v>38513</v>
      </c>
      <c r="K315">
        <f t="shared" si="4"/>
        <v>2005</v>
      </c>
      <c r="L315">
        <f>MONTH(TBL[[#This Row],[Hire Date]])</f>
        <v>6</v>
      </c>
      <c r="M315" s="7">
        <v>67374</v>
      </c>
      <c r="N315" s="8">
        <v>0</v>
      </c>
      <c r="O315" t="s">
        <v>19</v>
      </c>
      <c r="P315" t="s">
        <v>25</v>
      </c>
      <c r="Q315" s="1" t="s">
        <v>21</v>
      </c>
    </row>
    <row r="316" spans="1:17" x14ac:dyDescent="0.35">
      <c r="A316" t="s">
        <v>85</v>
      </c>
      <c r="B316" t="s">
        <v>918</v>
      </c>
      <c r="C316" t="s">
        <v>62</v>
      </c>
      <c r="D316" t="s">
        <v>23</v>
      </c>
      <c r="E316" t="s">
        <v>32</v>
      </c>
      <c r="F316" t="s">
        <v>28</v>
      </c>
      <c r="G316" t="s">
        <v>51</v>
      </c>
      <c r="H316">
        <v>46</v>
      </c>
      <c r="I316" t="str">
        <f>IF(TBL[[#This Row],[Age]]&gt;=60, "Old", IF(TBL[[#This Row],[Age]]&gt;=30, "Adult", "Young"))</f>
        <v>Adult</v>
      </c>
      <c r="J316" s="1">
        <v>40810</v>
      </c>
      <c r="K316">
        <f t="shared" si="4"/>
        <v>2011</v>
      </c>
      <c r="L316">
        <f>MONTH(TBL[[#This Row],[Hire Date]])</f>
        <v>9</v>
      </c>
      <c r="M316" s="7">
        <v>102167</v>
      </c>
      <c r="N316" s="8">
        <v>0.06</v>
      </c>
      <c r="O316" t="s">
        <v>52</v>
      </c>
      <c r="P316" t="s">
        <v>66</v>
      </c>
      <c r="Q316" s="1" t="s">
        <v>21</v>
      </c>
    </row>
    <row r="317" spans="1:17" x14ac:dyDescent="0.35">
      <c r="A317" t="s">
        <v>124</v>
      </c>
      <c r="B317" t="s">
        <v>919</v>
      </c>
      <c r="C317" t="s">
        <v>61</v>
      </c>
      <c r="D317" t="s">
        <v>50</v>
      </c>
      <c r="E317" t="s">
        <v>36</v>
      </c>
      <c r="F317" t="s">
        <v>28</v>
      </c>
      <c r="G317" t="s">
        <v>24</v>
      </c>
      <c r="H317">
        <v>45</v>
      </c>
      <c r="I317" t="str">
        <f>IF(TBL[[#This Row],[Age]]&gt;=60, "Old", IF(TBL[[#This Row],[Age]]&gt;=30, "Adult", "Young"))</f>
        <v>Adult</v>
      </c>
      <c r="J317" s="1">
        <v>39332</v>
      </c>
      <c r="K317">
        <f t="shared" si="4"/>
        <v>2007</v>
      </c>
      <c r="L317">
        <f>MONTH(TBL[[#This Row],[Hire Date]])</f>
        <v>9</v>
      </c>
      <c r="M317" s="7">
        <v>151027</v>
      </c>
      <c r="N317" s="8">
        <v>0.1</v>
      </c>
      <c r="O317" t="s">
        <v>33</v>
      </c>
      <c r="P317" t="s">
        <v>74</v>
      </c>
      <c r="Q317" s="1" t="s">
        <v>21</v>
      </c>
    </row>
    <row r="318" spans="1:17" x14ac:dyDescent="0.35">
      <c r="A318" t="s">
        <v>920</v>
      </c>
      <c r="B318" t="s">
        <v>921</v>
      </c>
      <c r="C318" t="s">
        <v>62</v>
      </c>
      <c r="D318" t="s">
        <v>65</v>
      </c>
      <c r="E318" t="s">
        <v>44</v>
      </c>
      <c r="F318" t="s">
        <v>28</v>
      </c>
      <c r="G318" t="s">
        <v>24</v>
      </c>
      <c r="H318">
        <v>40</v>
      </c>
      <c r="I318" t="str">
        <f>IF(TBL[[#This Row],[Age]]&gt;=60, "Old", IF(TBL[[#This Row],[Age]]&gt;=30, "Adult", "Young"))</f>
        <v>Adult</v>
      </c>
      <c r="J318" s="1">
        <v>43147</v>
      </c>
      <c r="K318">
        <f t="shared" si="4"/>
        <v>2018</v>
      </c>
      <c r="L318">
        <f>MONTH(TBL[[#This Row],[Hire Date]])</f>
        <v>2</v>
      </c>
      <c r="M318" s="7">
        <v>120905</v>
      </c>
      <c r="N318" s="8">
        <v>0.05</v>
      </c>
      <c r="O318" t="s">
        <v>19</v>
      </c>
      <c r="P318" t="s">
        <v>63</v>
      </c>
      <c r="Q318" s="1" t="s">
        <v>21</v>
      </c>
    </row>
    <row r="319" spans="1:17" x14ac:dyDescent="0.35">
      <c r="A319" t="s">
        <v>922</v>
      </c>
      <c r="B319" t="s">
        <v>923</v>
      </c>
      <c r="C319" t="s">
        <v>14</v>
      </c>
      <c r="D319" t="s">
        <v>15</v>
      </c>
      <c r="E319" t="s">
        <v>36</v>
      </c>
      <c r="F319" t="s">
        <v>17</v>
      </c>
      <c r="G319" t="s">
        <v>18</v>
      </c>
      <c r="H319">
        <v>48</v>
      </c>
      <c r="I319" t="str">
        <f>IF(TBL[[#This Row],[Age]]&gt;=60, "Old", IF(TBL[[#This Row],[Age]]&gt;=30, "Adult", "Young"))</f>
        <v>Adult</v>
      </c>
      <c r="J319" s="1">
        <v>43253</v>
      </c>
      <c r="K319">
        <f t="shared" si="4"/>
        <v>2018</v>
      </c>
      <c r="L319">
        <f>MONTH(TBL[[#This Row],[Hire Date]])</f>
        <v>6</v>
      </c>
      <c r="M319" s="7">
        <v>231567</v>
      </c>
      <c r="N319" s="8">
        <v>0.36</v>
      </c>
      <c r="O319" t="s">
        <v>19</v>
      </c>
      <c r="P319" t="s">
        <v>63</v>
      </c>
      <c r="Q319" s="1" t="s">
        <v>21</v>
      </c>
    </row>
    <row r="320" spans="1:17" x14ac:dyDescent="0.35">
      <c r="A320" t="s">
        <v>683</v>
      </c>
      <c r="B320" t="s">
        <v>924</v>
      </c>
      <c r="C320" t="s">
        <v>14</v>
      </c>
      <c r="D320" t="s">
        <v>27</v>
      </c>
      <c r="E320" t="s">
        <v>16</v>
      </c>
      <c r="F320" t="s">
        <v>28</v>
      </c>
      <c r="G320" t="s">
        <v>24</v>
      </c>
      <c r="H320">
        <v>31</v>
      </c>
      <c r="I320" t="str">
        <f>IF(TBL[[#This Row],[Age]]&gt;=60, "Old", IF(TBL[[#This Row],[Age]]&gt;=30, "Adult", "Young"))</f>
        <v>Adult</v>
      </c>
      <c r="J320" s="1">
        <v>42197</v>
      </c>
      <c r="K320">
        <f t="shared" si="4"/>
        <v>2015</v>
      </c>
      <c r="L320">
        <f>MONTH(TBL[[#This Row],[Hire Date]])</f>
        <v>7</v>
      </c>
      <c r="M320" s="7">
        <v>215388</v>
      </c>
      <c r="N320" s="8">
        <v>0.33</v>
      </c>
      <c r="O320" t="s">
        <v>19</v>
      </c>
      <c r="P320" t="s">
        <v>45</v>
      </c>
      <c r="Q320" s="1" t="s">
        <v>21</v>
      </c>
    </row>
    <row r="321" spans="1:17" x14ac:dyDescent="0.35">
      <c r="A321" t="s">
        <v>368</v>
      </c>
      <c r="B321" t="s">
        <v>925</v>
      </c>
      <c r="C321" t="s">
        <v>61</v>
      </c>
      <c r="D321" t="s">
        <v>50</v>
      </c>
      <c r="E321" t="s">
        <v>44</v>
      </c>
      <c r="F321" t="s">
        <v>17</v>
      </c>
      <c r="G321" t="s">
        <v>24</v>
      </c>
      <c r="H321">
        <v>30</v>
      </c>
      <c r="I321" t="str">
        <f>IF(TBL[[#This Row],[Age]]&gt;=60, "Old", IF(TBL[[#This Row],[Age]]&gt;=30, "Adult", "Young"))</f>
        <v>Adult</v>
      </c>
      <c r="J321" s="1">
        <v>42168</v>
      </c>
      <c r="K321">
        <f t="shared" si="4"/>
        <v>2015</v>
      </c>
      <c r="L321">
        <f>MONTH(TBL[[#This Row],[Hire Date]])</f>
        <v>6</v>
      </c>
      <c r="M321" s="7">
        <v>127972</v>
      </c>
      <c r="N321" s="8">
        <v>0.11</v>
      </c>
      <c r="O321" t="s">
        <v>19</v>
      </c>
      <c r="P321" t="s">
        <v>63</v>
      </c>
      <c r="Q321" s="1" t="s">
        <v>21</v>
      </c>
    </row>
    <row r="322" spans="1:17" x14ac:dyDescent="0.35">
      <c r="A322" t="s">
        <v>926</v>
      </c>
      <c r="B322" t="s">
        <v>927</v>
      </c>
      <c r="C322" t="s">
        <v>69</v>
      </c>
      <c r="D322" t="s">
        <v>31</v>
      </c>
      <c r="E322" t="s">
        <v>32</v>
      </c>
      <c r="F322" t="s">
        <v>17</v>
      </c>
      <c r="G322" t="s">
        <v>24</v>
      </c>
      <c r="H322">
        <v>55</v>
      </c>
      <c r="I322" t="str">
        <f>IF(TBL[[#This Row],[Age]]&gt;=60, "Old", IF(TBL[[#This Row],[Age]]&gt;=30, "Adult", "Young"))</f>
        <v>Adult</v>
      </c>
      <c r="J322" s="1">
        <v>34915</v>
      </c>
      <c r="K322">
        <f t="shared" ref="K322:K385" si="5">YEAR(--J322)</f>
        <v>1995</v>
      </c>
      <c r="L322">
        <f>MONTH(TBL[[#This Row],[Hire Date]])</f>
        <v>8</v>
      </c>
      <c r="M322" s="7">
        <v>80701</v>
      </c>
      <c r="N322" s="8">
        <v>0</v>
      </c>
      <c r="O322" t="s">
        <v>19</v>
      </c>
      <c r="P322" t="s">
        <v>20</v>
      </c>
      <c r="Q322" s="1">
        <v>38456</v>
      </c>
    </row>
    <row r="323" spans="1:17" x14ac:dyDescent="0.35">
      <c r="A323" t="s">
        <v>320</v>
      </c>
      <c r="B323" t="s">
        <v>928</v>
      </c>
      <c r="C323" t="s">
        <v>62</v>
      </c>
      <c r="D323" t="s">
        <v>43</v>
      </c>
      <c r="E323" t="s">
        <v>32</v>
      </c>
      <c r="F323" t="s">
        <v>28</v>
      </c>
      <c r="G323" t="s">
        <v>24</v>
      </c>
      <c r="H323">
        <v>28</v>
      </c>
      <c r="I323" t="str">
        <f>IF(TBL[[#This Row],[Age]]&gt;=60, "Old", IF(TBL[[#This Row],[Age]]&gt;=30, "Adult", "Young"))</f>
        <v>Young</v>
      </c>
      <c r="J323" s="1">
        <v>43863</v>
      </c>
      <c r="K323">
        <f t="shared" si="5"/>
        <v>2020</v>
      </c>
      <c r="L323">
        <f>MONTH(TBL[[#This Row],[Hire Date]])</f>
        <v>2</v>
      </c>
      <c r="M323" s="7">
        <v>115417</v>
      </c>
      <c r="N323" s="8">
        <v>0.06</v>
      </c>
      <c r="O323" t="s">
        <v>33</v>
      </c>
      <c r="P323" t="s">
        <v>74</v>
      </c>
      <c r="Q323" s="1" t="s">
        <v>21</v>
      </c>
    </row>
    <row r="324" spans="1:17" x14ac:dyDescent="0.35">
      <c r="A324" t="s">
        <v>629</v>
      </c>
      <c r="B324" t="s">
        <v>929</v>
      </c>
      <c r="C324" t="s">
        <v>30</v>
      </c>
      <c r="D324" t="s">
        <v>31</v>
      </c>
      <c r="E324" t="s">
        <v>32</v>
      </c>
      <c r="F324" t="s">
        <v>17</v>
      </c>
      <c r="G324" t="s">
        <v>18</v>
      </c>
      <c r="H324">
        <v>45</v>
      </c>
      <c r="I324" t="str">
        <f>IF(TBL[[#This Row],[Age]]&gt;=60, "Old", IF(TBL[[#This Row],[Age]]&gt;=30, "Adult", "Young"))</f>
        <v>Adult</v>
      </c>
      <c r="J324" s="1">
        <v>43635</v>
      </c>
      <c r="K324">
        <f t="shared" si="5"/>
        <v>2019</v>
      </c>
      <c r="L324">
        <f>MONTH(TBL[[#This Row],[Hire Date]])</f>
        <v>6</v>
      </c>
      <c r="M324" s="7">
        <v>88045</v>
      </c>
      <c r="N324" s="8">
        <v>0</v>
      </c>
      <c r="O324" t="s">
        <v>19</v>
      </c>
      <c r="P324" t="s">
        <v>20</v>
      </c>
      <c r="Q324" s="1" t="s">
        <v>21</v>
      </c>
    </row>
    <row r="325" spans="1:17" x14ac:dyDescent="0.35">
      <c r="A325" t="s">
        <v>75</v>
      </c>
      <c r="B325" t="s">
        <v>930</v>
      </c>
      <c r="C325" t="s">
        <v>56</v>
      </c>
      <c r="D325" t="s">
        <v>27</v>
      </c>
      <c r="E325" t="s">
        <v>44</v>
      </c>
      <c r="F325" t="s">
        <v>17</v>
      </c>
      <c r="G325" t="s">
        <v>47</v>
      </c>
      <c r="H325">
        <v>45</v>
      </c>
      <c r="I325" t="str">
        <f>IF(TBL[[#This Row],[Age]]&gt;=60, "Old", IF(TBL[[#This Row],[Age]]&gt;=30, "Adult", "Young"))</f>
        <v>Adult</v>
      </c>
      <c r="J325" s="1">
        <v>43185</v>
      </c>
      <c r="K325">
        <f t="shared" si="5"/>
        <v>2018</v>
      </c>
      <c r="L325">
        <f>MONTH(TBL[[#This Row],[Hire Date]])</f>
        <v>3</v>
      </c>
      <c r="M325" s="7">
        <v>86478</v>
      </c>
      <c r="N325" s="8">
        <v>0.06</v>
      </c>
      <c r="O325" t="s">
        <v>19</v>
      </c>
      <c r="P325" t="s">
        <v>25</v>
      </c>
      <c r="Q325" s="1" t="s">
        <v>21</v>
      </c>
    </row>
    <row r="326" spans="1:17" x14ac:dyDescent="0.35">
      <c r="A326" t="s">
        <v>931</v>
      </c>
      <c r="B326" t="s">
        <v>932</v>
      </c>
      <c r="C326" t="s">
        <v>14</v>
      </c>
      <c r="D326" t="s">
        <v>31</v>
      </c>
      <c r="E326" t="s">
        <v>36</v>
      </c>
      <c r="F326" t="s">
        <v>28</v>
      </c>
      <c r="G326" t="s">
        <v>18</v>
      </c>
      <c r="H326">
        <v>63</v>
      </c>
      <c r="I326" t="str">
        <f>IF(TBL[[#This Row],[Age]]&gt;=60, "Old", IF(TBL[[#This Row],[Age]]&gt;=30, "Adult", "Young"))</f>
        <v>Old</v>
      </c>
      <c r="J326" s="1">
        <v>42387</v>
      </c>
      <c r="K326">
        <f t="shared" si="5"/>
        <v>2016</v>
      </c>
      <c r="L326">
        <f>MONTH(TBL[[#This Row],[Hire Date]])</f>
        <v>1</v>
      </c>
      <c r="M326" s="7">
        <v>180994</v>
      </c>
      <c r="N326" s="8">
        <v>0.39</v>
      </c>
      <c r="O326" t="s">
        <v>19</v>
      </c>
      <c r="P326" t="s">
        <v>63</v>
      </c>
      <c r="Q326" s="1" t="s">
        <v>21</v>
      </c>
    </row>
    <row r="327" spans="1:17" x14ac:dyDescent="0.35">
      <c r="A327" t="s">
        <v>933</v>
      </c>
      <c r="B327" t="s">
        <v>934</v>
      </c>
      <c r="C327" t="s">
        <v>64</v>
      </c>
      <c r="D327" t="s">
        <v>15</v>
      </c>
      <c r="E327" t="s">
        <v>16</v>
      </c>
      <c r="F327" t="s">
        <v>17</v>
      </c>
      <c r="G327" t="s">
        <v>24</v>
      </c>
      <c r="H327">
        <v>55</v>
      </c>
      <c r="I327" t="str">
        <f>IF(TBL[[#This Row],[Age]]&gt;=60, "Old", IF(TBL[[#This Row],[Age]]&gt;=30, "Adult", "Young"))</f>
        <v>Adult</v>
      </c>
      <c r="J327" s="1">
        <v>39418</v>
      </c>
      <c r="K327">
        <f t="shared" si="5"/>
        <v>2007</v>
      </c>
      <c r="L327">
        <f>MONTH(TBL[[#This Row],[Hire Date]])</f>
        <v>12</v>
      </c>
      <c r="M327" s="7">
        <v>64494</v>
      </c>
      <c r="N327" s="8">
        <v>0</v>
      </c>
      <c r="O327" t="s">
        <v>19</v>
      </c>
      <c r="P327" t="s">
        <v>29</v>
      </c>
      <c r="Q327" s="1" t="s">
        <v>21</v>
      </c>
    </row>
    <row r="328" spans="1:17" x14ac:dyDescent="0.35">
      <c r="A328" t="s">
        <v>252</v>
      </c>
      <c r="B328" t="s">
        <v>935</v>
      </c>
      <c r="C328" t="s">
        <v>94</v>
      </c>
      <c r="D328" t="s">
        <v>50</v>
      </c>
      <c r="E328" t="s">
        <v>36</v>
      </c>
      <c r="F328" t="s">
        <v>28</v>
      </c>
      <c r="G328" t="s">
        <v>47</v>
      </c>
      <c r="H328">
        <v>47</v>
      </c>
      <c r="I328" t="str">
        <f>IF(TBL[[#This Row],[Age]]&gt;=60, "Old", IF(TBL[[#This Row],[Age]]&gt;=30, "Adult", "Young"))</f>
        <v>Adult</v>
      </c>
      <c r="J328" s="1">
        <v>37550</v>
      </c>
      <c r="K328">
        <f t="shared" si="5"/>
        <v>2002</v>
      </c>
      <c r="L328">
        <f>MONTH(TBL[[#This Row],[Hire Date]])</f>
        <v>10</v>
      </c>
      <c r="M328" s="7">
        <v>70122</v>
      </c>
      <c r="N328" s="8">
        <v>0</v>
      </c>
      <c r="O328" t="s">
        <v>19</v>
      </c>
      <c r="P328" t="s">
        <v>29</v>
      </c>
      <c r="Q328" s="1" t="s">
        <v>21</v>
      </c>
    </row>
    <row r="329" spans="1:17" x14ac:dyDescent="0.35">
      <c r="A329" t="s">
        <v>301</v>
      </c>
      <c r="B329" t="s">
        <v>936</v>
      </c>
      <c r="C329" t="s">
        <v>40</v>
      </c>
      <c r="D329" t="s">
        <v>65</v>
      </c>
      <c r="E329" t="s">
        <v>36</v>
      </c>
      <c r="F329" t="s">
        <v>28</v>
      </c>
      <c r="G329" t="s">
        <v>18</v>
      </c>
      <c r="H329">
        <v>29</v>
      </c>
      <c r="I329" t="str">
        <f>IF(TBL[[#This Row],[Age]]&gt;=60, "Old", IF(TBL[[#This Row],[Age]]&gt;=30, "Adult", "Young"))</f>
        <v>Young</v>
      </c>
      <c r="J329" s="1">
        <v>42785</v>
      </c>
      <c r="K329">
        <f t="shared" si="5"/>
        <v>2017</v>
      </c>
      <c r="L329">
        <f>MONTH(TBL[[#This Row],[Hire Date]])</f>
        <v>2</v>
      </c>
      <c r="M329" s="7">
        <v>181854</v>
      </c>
      <c r="N329" s="8">
        <v>0.28999999999999998</v>
      </c>
      <c r="O329" t="s">
        <v>19</v>
      </c>
      <c r="P329" t="s">
        <v>63</v>
      </c>
      <c r="Q329" s="1">
        <v>43945</v>
      </c>
    </row>
    <row r="330" spans="1:17" x14ac:dyDescent="0.35">
      <c r="A330" t="s">
        <v>937</v>
      </c>
      <c r="B330" t="s">
        <v>938</v>
      </c>
      <c r="C330" t="s">
        <v>83</v>
      </c>
      <c r="D330" t="s">
        <v>23</v>
      </c>
      <c r="E330" t="s">
        <v>44</v>
      </c>
      <c r="F330" t="s">
        <v>17</v>
      </c>
      <c r="G330" t="s">
        <v>51</v>
      </c>
      <c r="H330">
        <v>34</v>
      </c>
      <c r="I330" t="str">
        <f>IF(TBL[[#This Row],[Age]]&gt;=60, "Old", IF(TBL[[#This Row],[Age]]&gt;=30, "Adult", "Young"))</f>
        <v>Adult</v>
      </c>
      <c r="J330" s="1">
        <v>42664</v>
      </c>
      <c r="K330">
        <f t="shared" si="5"/>
        <v>2016</v>
      </c>
      <c r="L330">
        <f>MONTH(TBL[[#This Row],[Hire Date]])</f>
        <v>10</v>
      </c>
      <c r="M330" s="7">
        <v>52811</v>
      </c>
      <c r="N330" s="8">
        <v>0</v>
      </c>
      <c r="O330" t="s">
        <v>19</v>
      </c>
      <c r="P330" t="s">
        <v>45</v>
      </c>
      <c r="Q330" s="1" t="s">
        <v>21</v>
      </c>
    </row>
    <row r="331" spans="1:17" x14ac:dyDescent="0.35">
      <c r="A331" t="s">
        <v>939</v>
      </c>
      <c r="B331" t="s">
        <v>940</v>
      </c>
      <c r="C331" t="s">
        <v>76</v>
      </c>
      <c r="D331" t="s">
        <v>27</v>
      </c>
      <c r="E331" t="s">
        <v>16</v>
      </c>
      <c r="F331" t="s">
        <v>17</v>
      </c>
      <c r="G331" t="s">
        <v>24</v>
      </c>
      <c r="H331">
        <v>28</v>
      </c>
      <c r="I331" t="str">
        <f>IF(TBL[[#This Row],[Age]]&gt;=60, "Old", IF(TBL[[#This Row],[Age]]&gt;=30, "Adult", "Young"))</f>
        <v>Young</v>
      </c>
      <c r="J331" s="1">
        <v>43763</v>
      </c>
      <c r="K331">
        <f t="shared" si="5"/>
        <v>2019</v>
      </c>
      <c r="L331">
        <f>MONTH(TBL[[#This Row],[Hire Date]])</f>
        <v>10</v>
      </c>
      <c r="M331" s="7">
        <v>50111</v>
      </c>
      <c r="N331" s="8">
        <v>0</v>
      </c>
      <c r="O331" t="s">
        <v>33</v>
      </c>
      <c r="P331" t="s">
        <v>34</v>
      </c>
      <c r="Q331" s="1" t="s">
        <v>21</v>
      </c>
    </row>
    <row r="332" spans="1:17" x14ac:dyDescent="0.35">
      <c r="A332" t="s">
        <v>941</v>
      </c>
      <c r="B332" t="s">
        <v>858</v>
      </c>
      <c r="C332" t="s">
        <v>89</v>
      </c>
      <c r="D332" t="s">
        <v>27</v>
      </c>
      <c r="E332" t="s">
        <v>36</v>
      </c>
      <c r="F332" t="s">
        <v>28</v>
      </c>
      <c r="G332" t="s">
        <v>47</v>
      </c>
      <c r="H332">
        <v>31</v>
      </c>
      <c r="I332" t="str">
        <f>IF(TBL[[#This Row],[Age]]&gt;=60, "Old", IF(TBL[[#This Row],[Age]]&gt;=30, "Adult", "Young"))</f>
        <v>Adult</v>
      </c>
      <c r="J332" s="1">
        <v>42497</v>
      </c>
      <c r="K332">
        <f t="shared" si="5"/>
        <v>2016</v>
      </c>
      <c r="L332">
        <f>MONTH(TBL[[#This Row],[Hire Date]])</f>
        <v>5</v>
      </c>
      <c r="M332" s="7">
        <v>71192</v>
      </c>
      <c r="N332" s="8">
        <v>0</v>
      </c>
      <c r="O332" t="s">
        <v>19</v>
      </c>
      <c r="P332" t="s">
        <v>25</v>
      </c>
      <c r="Q332" s="1" t="s">
        <v>21</v>
      </c>
    </row>
    <row r="333" spans="1:17" x14ac:dyDescent="0.35">
      <c r="A333" t="s">
        <v>942</v>
      </c>
      <c r="B333" t="s">
        <v>943</v>
      </c>
      <c r="C333" t="s">
        <v>40</v>
      </c>
      <c r="D333" t="s">
        <v>50</v>
      </c>
      <c r="E333" t="s">
        <v>36</v>
      </c>
      <c r="F333" t="s">
        <v>17</v>
      </c>
      <c r="G333" t="s">
        <v>51</v>
      </c>
      <c r="H333">
        <v>50</v>
      </c>
      <c r="I333" t="str">
        <f>IF(TBL[[#This Row],[Age]]&gt;=60, "Old", IF(TBL[[#This Row],[Age]]&gt;=30, "Adult", "Young"))</f>
        <v>Adult</v>
      </c>
      <c r="J333" s="1">
        <v>43452</v>
      </c>
      <c r="K333">
        <f t="shared" si="5"/>
        <v>2018</v>
      </c>
      <c r="L333">
        <f>MONTH(TBL[[#This Row],[Hire Date]])</f>
        <v>12</v>
      </c>
      <c r="M333" s="7">
        <v>155351</v>
      </c>
      <c r="N333" s="8">
        <v>0.2</v>
      </c>
      <c r="O333" t="s">
        <v>19</v>
      </c>
      <c r="P333" t="s">
        <v>63</v>
      </c>
      <c r="Q333" s="1" t="s">
        <v>21</v>
      </c>
    </row>
    <row r="334" spans="1:17" x14ac:dyDescent="0.35">
      <c r="A334" t="s">
        <v>944</v>
      </c>
      <c r="B334" t="s">
        <v>945</v>
      </c>
      <c r="C334" t="s">
        <v>40</v>
      </c>
      <c r="D334" t="s">
        <v>23</v>
      </c>
      <c r="E334" t="s">
        <v>44</v>
      </c>
      <c r="F334" t="s">
        <v>28</v>
      </c>
      <c r="G334" t="s">
        <v>24</v>
      </c>
      <c r="H334">
        <v>39</v>
      </c>
      <c r="I334" t="str">
        <f>IF(TBL[[#This Row],[Age]]&gt;=60, "Old", IF(TBL[[#This Row],[Age]]&gt;=30, "Adult", "Young"))</f>
        <v>Adult</v>
      </c>
      <c r="J334" s="1">
        <v>39049</v>
      </c>
      <c r="K334">
        <f t="shared" si="5"/>
        <v>2006</v>
      </c>
      <c r="L334">
        <f>MONTH(TBL[[#This Row],[Hire Date]])</f>
        <v>11</v>
      </c>
      <c r="M334" s="7">
        <v>161690</v>
      </c>
      <c r="N334" s="8">
        <v>0.28999999999999998</v>
      </c>
      <c r="O334" t="s">
        <v>33</v>
      </c>
      <c r="P334" t="s">
        <v>60</v>
      </c>
      <c r="Q334" s="1" t="s">
        <v>21</v>
      </c>
    </row>
    <row r="335" spans="1:17" x14ac:dyDescent="0.35">
      <c r="A335" t="s">
        <v>946</v>
      </c>
      <c r="B335" t="s">
        <v>947</v>
      </c>
      <c r="C335" t="s">
        <v>86</v>
      </c>
      <c r="D335" t="s">
        <v>31</v>
      </c>
      <c r="E335" t="s">
        <v>44</v>
      </c>
      <c r="F335" t="s">
        <v>17</v>
      </c>
      <c r="G335" t="s">
        <v>24</v>
      </c>
      <c r="H335">
        <v>35</v>
      </c>
      <c r="I335" t="str">
        <f>IF(TBL[[#This Row],[Age]]&gt;=60, "Old", IF(TBL[[#This Row],[Age]]&gt;=30, "Adult", "Young"))</f>
        <v>Adult</v>
      </c>
      <c r="J335" s="1">
        <v>42776</v>
      </c>
      <c r="K335">
        <f t="shared" si="5"/>
        <v>2017</v>
      </c>
      <c r="L335">
        <f>MONTH(TBL[[#This Row],[Hire Date]])</f>
        <v>2</v>
      </c>
      <c r="M335" s="7">
        <v>60132</v>
      </c>
      <c r="N335" s="8">
        <v>0</v>
      </c>
      <c r="O335" t="s">
        <v>33</v>
      </c>
      <c r="P335" t="s">
        <v>80</v>
      </c>
      <c r="Q335" s="1" t="s">
        <v>21</v>
      </c>
    </row>
    <row r="336" spans="1:17" x14ac:dyDescent="0.35">
      <c r="A336" t="s">
        <v>209</v>
      </c>
      <c r="B336" t="s">
        <v>948</v>
      </c>
      <c r="C336" t="s">
        <v>71</v>
      </c>
      <c r="D336" t="s">
        <v>27</v>
      </c>
      <c r="E336" t="s">
        <v>36</v>
      </c>
      <c r="F336" t="s">
        <v>28</v>
      </c>
      <c r="G336" t="s">
        <v>18</v>
      </c>
      <c r="H336">
        <v>54</v>
      </c>
      <c r="I336" t="str">
        <f>IF(TBL[[#This Row],[Age]]&gt;=60, "Old", IF(TBL[[#This Row],[Age]]&gt;=30, "Adult", "Young"))</f>
        <v>Adult</v>
      </c>
      <c r="J336" s="1">
        <v>34631</v>
      </c>
      <c r="K336">
        <f t="shared" si="5"/>
        <v>1994</v>
      </c>
      <c r="L336">
        <f>MONTH(TBL[[#This Row],[Hire Date]])</f>
        <v>10</v>
      </c>
      <c r="M336" s="7">
        <v>87216</v>
      </c>
      <c r="N336" s="8">
        <v>0</v>
      </c>
      <c r="O336" t="s">
        <v>19</v>
      </c>
      <c r="P336" t="s">
        <v>45</v>
      </c>
      <c r="Q336" s="1" t="s">
        <v>21</v>
      </c>
    </row>
    <row r="337" spans="1:17" x14ac:dyDescent="0.35">
      <c r="A337" t="s">
        <v>949</v>
      </c>
      <c r="B337" t="s">
        <v>950</v>
      </c>
      <c r="C337" t="s">
        <v>76</v>
      </c>
      <c r="D337" t="s">
        <v>27</v>
      </c>
      <c r="E337" t="s">
        <v>32</v>
      </c>
      <c r="F337" t="s">
        <v>28</v>
      </c>
      <c r="G337" t="s">
        <v>18</v>
      </c>
      <c r="H337">
        <v>47</v>
      </c>
      <c r="I337" t="str">
        <f>IF(TBL[[#This Row],[Age]]&gt;=60, "Old", IF(TBL[[#This Row],[Age]]&gt;=30, "Adult", "Young"))</f>
        <v>Adult</v>
      </c>
      <c r="J337" s="1">
        <v>43944</v>
      </c>
      <c r="K337">
        <f t="shared" si="5"/>
        <v>2020</v>
      </c>
      <c r="L337">
        <f>MONTH(TBL[[#This Row],[Hire Date]])</f>
        <v>4</v>
      </c>
      <c r="M337" s="7">
        <v>50069</v>
      </c>
      <c r="N337" s="8">
        <v>0</v>
      </c>
      <c r="O337" t="s">
        <v>19</v>
      </c>
      <c r="P337" t="s">
        <v>63</v>
      </c>
      <c r="Q337" s="1" t="s">
        <v>21</v>
      </c>
    </row>
    <row r="338" spans="1:17" x14ac:dyDescent="0.35">
      <c r="A338" t="s">
        <v>326</v>
      </c>
      <c r="B338" t="s">
        <v>951</v>
      </c>
      <c r="C338" t="s">
        <v>40</v>
      </c>
      <c r="D338" t="s">
        <v>27</v>
      </c>
      <c r="E338" t="s">
        <v>44</v>
      </c>
      <c r="F338" t="s">
        <v>17</v>
      </c>
      <c r="G338" t="s">
        <v>18</v>
      </c>
      <c r="H338">
        <v>26</v>
      </c>
      <c r="I338" t="str">
        <f>IF(TBL[[#This Row],[Age]]&gt;=60, "Old", IF(TBL[[#This Row],[Age]]&gt;=30, "Adult", "Young"))</f>
        <v>Young</v>
      </c>
      <c r="J338" s="1">
        <v>44403</v>
      </c>
      <c r="K338">
        <f t="shared" si="5"/>
        <v>2021</v>
      </c>
      <c r="L338">
        <f>MONTH(TBL[[#This Row],[Hire Date]])</f>
        <v>7</v>
      </c>
      <c r="M338" s="7">
        <v>151108</v>
      </c>
      <c r="N338" s="8">
        <v>0.22</v>
      </c>
      <c r="O338" t="s">
        <v>19</v>
      </c>
      <c r="P338" t="s">
        <v>39</v>
      </c>
      <c r="Q338" s="1" t="s">
        <v>21</v>
      </c>
    </row>
    <row r="339" spans="1:17" x14ac:dyDescent="0.35">
      <c r="A339" t="s">
        <v>952</v>
      </c>
      <c r="B339" t="s">
        <v>953</v>
      </c>
      <c r="C339" t="s">
        <v>56</v>
      </c>
      <c r="D339" t="s">
        <v>27</v>
      </c>
      <c r="E339" t="s">
        <v>36</v>
      </c>
      <c r="F339" t="s">
        <v>17</v>
      </c>
      <c r="G339" t="s">
        <v>24</v>
      </c>
      <c r="H339">
        <v>42</v>
      </c>
      <c r="I339" t="str">
        <f>IF(TBL[[#This Row],[Age]]&gt;=60, "Old", IF(TBL[[#This Row],[Age]]&gt;=30, "Adult", "Young"))</f>
        <v>Adult</v>
      </c>
      <c r="J339" s="1">
        <v>38640</v>
      </c>
      <c r="K339">
        <f t="shared" si="5"/>
        <v>2005</v>
      </c>
      <c r="L339">
        <f>MONTH(TBL[[#This Row],[Hire Date]])</f>
        <v>10</v>
      </c>
      <c r="M339" s="7">
        <v>67398</v>
      </c>
      <c r="N339" s="8">
        <v>7.0000000000000007E-2</v>
      </c>
      <c r="O339" t="s">
        <v>19</v>
      </c>
      <c r="P339" t="s">
        <v>39</v>
      </c>
      <c r="Q339" s="1" t="s">
        <v>21</v>
      </c>
    </row>
    <row r="340" spans="1:17" x14ac:dyDescent="0.35">
      <c r="A340" t="s">
        <v>351</v>
      </c>
      <c r="B340" t="s">
        <v>954</v>
      </c>
      <c r="C340" t="s">
        <v>86</v>
      </c>
      <c r="D340" t="s">
        <v>31</v>
      </c>
      <c r="E340" t="s">
        <v>16</v>
      </c>
      <c r="F340" t="s">
        <v>17</v>
      </c>
      <c r="G340" t="s">
        <v>51</v>
      </c>
      <c r="H340">
        <v>47</v>
      </c>
      <c r="I340" t="str">
        <f>IF(TBL[[#This Row],[Age]]&gt;=60, "Old", IF(TBL[[#This Row],[Age]]&gt;=30, "Adult", "Young"))</f>
        <v>Adult</v>
      </c>
      <c r="J340" s="1">
        <v>42245</v>
      </c>
      <c r="K340">
        <f t="shared" si="5"/>
        <v>2015</v>
      </c>
      <c r="L340">
        <f>MONTH(TBL[[#This Row],[Hire Date]])</f>
        <v>8</v>
      </c>
      <c r="M340" s="7">
        <v>68488</v>
      </c>
      <c r="N340" s="8">
        <v>0</v>
      </c>
      <c r="O340" t="s">
        <v>19</v>
      </c>
      <c r="P340" t="s">
        <v>63</v>
      </c>
      <c r="Q340" s="1" t="s">
        <v>21</v>
      </c>
    </row>
    <row r="341" spans="1:17" x14ac:dyDescent="0.35">
      <c r="A341" t="s">
        <v>336</v>
      </c>
      <c r="B341" t="s">
        <v>955</v>
      </c>
      <c r="C341" t="s">
        <v>30</v>
      </c>
      <c r="D341" t="s">
        <v>31</v>
      </c>
      <c r="E341" t="s">
        <v>36</v>
      </c>
      <c r="F341" t="s">
        <v>17</v>
      </c>
      <c r="G341" t="s">
        <v>51</v>
      </c>
      <c r="H341">
        <v>60</v>
      </c>
      <c r="I341" t="str">
        <f>IF(TBL[[#This Row],[Age]]&gt;=60, "Old", IF(TBL[[#This Row],[Age]]&gt;=30, "Adult", "Young"))</f>
        <v>Old</v>
      </c>
      <c r="J341" s="1">
        <v>35992</v>
      </c>
      <c r="K341">
        <f t="shared" si="5"/>
        <v>1998</v>
      </c>
      <c r="L341">
        <f>MONTH(TBL[[#This Row],[Hire Date]])</f>
        <v>7</v>
      </c>
      <c r="M341" s="7">
        <v>92932</v>
      </c>
      <c r="N341" s="8">
        <v>0</v>
      </c>
      <c r="O341" t="s">
        <v>19</v>
      </c>
      <c r="P341" t="s">
        <v>29</v>
      </c>
      <c r="Q341" s="1" t="s">
        <v>21</v>
      </c>
    </row>
    <row r="342" spans="1:17" x14ac:dyDescent="0.35">
      <c r="A342" t="s">
        <v>289</v>
      </c>
      <c r="B342" t="s">
        <v>956</v>
      </c>
      <c r="C342" t="s">
        <v>68</v>
      </c>
      <c r="D342" t="s">
        <v>15</v>
      </c>
      <c r="E342" t="s">
        <v>32</v>
      </c>
      <c r="F342" t="s">
        <v>17</v>
      </c>
      <c r="G342" t="s">
        <v>51</v>
      </c>
      <c r="H342">
        <v>36</v>
      </c>
      <c r="I342" t="str">
        <f>IF(TBL[[#This Row],[Age]]&gt;=60, "Old", IF(TBL[[#This Row],[Age]]&gt;=30, "Adult", "Young"))</f>
        <v>Adult</v>
      </c>
      <c r="J342" s="1">
        <v>39994</v>
      </c>
      <c r="K342">
        <f t="shared" si="5"/>
        <v>2009</v>
      </c>
      <c r="L342">
        <f>MONTH(TBL[[#This Row],[Hire Date]])</f>
        <v>6</v>
      </c>
      <c r="M342" s="7">
        <v>43363</v>
      </c>
      <c r="N342" s="8">
        <v>0</v>
      </c>
      <c r="O342" t="s">
        <v>19</v>
      </c>
      <c r="P342" t="s">
        <v>25</v>
      </c>
      <c r="Q342" s="1" t="s">
        <v>21</v>
      </c>
    </row>
    <row r="343" spans="1:17" x14ac:dyDescent="0.35">
      <c r="A343" t="s">
        <v>957</v>
      </c>
      <c r="B343" t="s">
        <v>958</v>
      </c>
      <c r="C343" t="s">
        <v>82</v>
      </c>
      <c r="D343" t="s">
        <v>27</v>
      </c>
      <c r="E343" t="s">
        <v>44</v>
      </c>
      <c r="F343" t="s">
        <v>28</v>
      </c>
      <c r="G343" t="s">
        <v>24</v>
      </c>
      <c r="H343">
        <v>31</v>
      </c>
      <c r="I343" t="str">
        <f>IF(TBL[[#This Row],[Age]]&gt;=60, "Old", IF(TBL[[#This Row],[Age]]&gt;=30, "Adult", "Young"))</f>
        <v>Adult</v>
      </c>
      <c r="J343" s="1">
        <v>42780</v>
      </c>
      <c r="K343">
        <f t="shared" si="5"/>
        <v>2017</v>
      </c>
      <c r="L343">
        <f>MONTH(TBL[[#This Row],[Hire Date]])</f>
        <v>2</v>
      </c>
      <c r="M343" s="7">
        <v>95963</v>
      </c>
      <c r="N343" s="8">
        <v>0</v>
      </c>
      <c r="O343" t="s">
        <v>33</v>
      </c>
      <c r="P343" t="s">
        <v>34</v>
      </c>
      <c r="Q343" s="1" t="s">
        <v>21</v>
      </c>
    </row>
    <row r="344" spans="1:17" x14ac:dyDescent="0.35">
      <c r="A344" t="s">
        <v>372</v>
      </c>
      <c r="B344" t="s">
        <v>959</v>
      </c>
      <c r="C344" t="s">
        <v>62</v>
      </c>
      <c r="D344" t="s">
        <v>15</v>
      </c>
      <c r="E344" t="s">
        <v>44</v>
      </c>
      <c r="F344" t="s">
        <v>17</v>
      </c>
      <c r="G344" t="s">
        <v>51</v>
      </c>
      <c r="H344">
        <v>55</v>
      </c>
      <c r="I344" t="str">
        <f>IF(TBL[[#This Row],[Age]]&gt;=60, "Old", IF(TBL[[#This Row],[Age]]&gt;=30, "Adult", "Young"))</f>
        <v>Adult</v>
      </c>
      <c r="J344" s="1">
        <v>40297</v>
      </c>
      <c r="K344">
        <f t="shared" si="5"/>
        <v>2010</v>
      </c>
      <c r="L344">
        <f>MONTH(TBL[[#This Row],[Hire Date]])</f>
        <v>4</v>
      </c>
      <c r="M344" s="7">
        <v>111038</v>
      </c>
      <c r="N344" s="8">
        <v>0.05</v>
      </c>
      <c r="O344" t="s">
        <v>52</v>
      </c>
      <c r="P344" t="s">
        <v>53</v>
      </c>
      <c r="Q344" s="1" t="s">
        <v>21</v>
      </c>
    </row>
    <row r="345" spans="1:17" x14ac:dyDescent="0.35">
      <c r="A345" t="s">
        <v>960</v>
      </c>
      <c r="B345" t="s">
        <v>961</v>
      </c>
      <c r="C345" t="s">
        <v>14</v>
      </c>
      <c r="D345" t="s">
        <v>31</v>
      </c>
      <c r="E345" t="s">
        <v>16</v>
      </c>
      <c r="F345" t="s">
        <v>17</v>
      </c>
      <c r="G345" t="s">
        <v>18</v>
      </c>
      <c r="H345">
        <v>51</v>
      </c>
      <c r="I345" t="str">
        <f>IF(TBL[[#This Row],[Age]]&gt;=60, "Old", IF(TBL[[#This Row],[Age]]&gt;=30, "Adult", "Young"))</f>
        <v>Adult</v>
      </c>
      <c r="J345" s="1">
        <v>35230</v>
      </c>
      <c r="K345">
        <f t="shared" si="5"/>
        <v>1996</v>
      </c>
      <c r="L345">
        <f>MONTH(TBL[[#This Row],[Hire Date]])</f>
        <v>6</v>
      </c>
      <c r="M345" s="7">
        <v>200246</v>
      </c>
      <c r="N345" s="8">
        <v>0.34</v>
      </c>
      <c r="O345" t="s">
        <v>19</v>
      </c>
      <c r="P345" t="s">
        <v>29</v>
      </c>
      <c r="Q345" s="1" t="s">
        <v>21</v>
      </c>
    </row>
    <row r="346" spans="1:17" x14ac:dyDescent="0.35">
      <c r="A346" t="s">
        <v>789</v>
      </c>
      <c r="B346" t="s">
        <v>962</v>
      </c>
      <c r="C346" t="s">
        <v>14</v>
      </c>
      <c r="D346" t="s">
        <v>27</v>
      </c>
      <c r="E346" t="s">
        <v>32</v>
      </c>
      <c r="F346" t="s">
        <v>17</v>
      </c>
      <c r="G346" t="s">
        <v>18</v>
      </c>
      <c r="H346">
        <v>48</v>
      </c>
      <c r="I346" t="str">
        <f>IF(TBL[[#This Row],[Age]]&gt;=60, "Old", IF(TBL[[#This Row],[Age]]&gt;=30, "Adult", "Young"))</f>
        <v>Adult</v>
      </c>
      <c r="J346" s="1">
        <v>42053</v>
      </c>
      <c r="K346">
        <f t="shared" si="5"/>
        <v>2015</v>
      </c>
      <c r="L346">
        <f>MONTH(TBL[[#This Row],[Hire Date]])</f>
        <v>2</v>
      </c>
      <c r="M346" s="7">
        <v>194871</v>
      </c>
      <c r="N346" s="8">
        <v>0.35</v>
      </c>
      <c r="O346" t="s">
        <v>19</v>
      </c>
      <c r="P346" t="s">
        <v>29</v>
      </c>
      <c r="Q346" s="1" t="s">
        <v>21</v>
      </c>
    </row>
    <row r="347" spans="1:17" x14ac:dyDescent="0.35">
      <c r="A347" t="s">
        <v>317</v>
      </c>
      <c r="B347" t="s">
        <v>963</v>
      </c>
      <c r="C347" t="s">
        <v>42</v>
      </c>
      <c r="D347" t="s">
        <v>65</v>
      </c>
      <c r="E347" t="s">
        <v>16</v>
      </c>
      <c r="F347" t="s">
        <v>28</v>
      </c>
      <c r="G347" t="s">
        <v>51</v>
      </c>
      <c r="H347">
        <v>58</v>
      </c>
      <c r="I347" t="str">
        <f>IF(TBL[[#This Row],[Age]]&gt;=60, "Old", IF(TBL[[#This Row],[Age]]&gt;=30, "Adult", "Young"))</f>
        <v>Adult</v>
      </c>
      <c r="J347" s="1">
        <v>34592</v>
      </c>
      <c r="K347">
        <f t="shared" si="5"/>
        <v>1994</v>
      </c>
      <c r="L347">
        <f>MONTH(TBL[[#This Row],[Hire Date]])</f>
        <v>9</v>
      </c>
      <c r="M347" s="7">
        <v>98769</v>
      </c>
      <c r="N347" s="8">
        <v>0</v>
      </c>
      <c r="O347" t="s">
        <v>52</v>
      </c>
      <c r="P347" t="s">
        <v>66</v>
      </c>
      <c r="Q347" s="1">
        <v>42646</v>
      </c>
    </row>
    <row r="348" spans="1:17" x14ac:dyDescent="0.35">
      <c r="A348" t="s">
        <v>377</v>
      </c>
      <c r="B348" t="s">
        <v>964</v>
      </c>
      <c r="C348" t="s">
        <v>94</v>
      </c>
      <c r="D348" t="s">
        <v>50</v>
      </c>
      <c r="E348" t="s">
        <v>16</v>
      </c>
      <c r="F348" t="s">
        <v>17</v>
      </c>
      <c r="G348" t="s">
        <v>51</v>
      </c>
      <c r="H348">
        <v>29</v>
      </c>
      <c r="I348" t="str">
        <f>IF(TBL[[#This Row],[Age]]&gt;=60, "Old", IF(TBL[[#This Row],[Age]]&gt;=30, "Adult", "Young"))</f>
        <v>Young</v>
      </c>
      <c r="J348" s="1">
        <v>43239</v>
      </c>
      <c r="K348">
        <f t="shared" si="5"/>
        <v>2018</v>
      </c>
      <c r="L348">
        <f>MONTH(TBL[[#This Row],[Hire Date]])</f>
        <v>5</v>
      </c>
      <c r="M348" s="7">
        <v>65334</v>
      </c>
      <c r="N348" s="8">
        <v>0</v>
      </c>
      <c r="O348" t="s">
        <v>52</v>
      </c>
      <c r="P348" t="s">
        <v>66</v>
      </c>
      <c r="Q348" s="1" t="s">
        <v>21</v>
      </c>
    </row>
    <row r="349" spans="1:17" x14ac:dyDescent="0.35">
      <c r="A349" t="s">
        <v>144</v>
      </c>
      <c r="B349" t="s">
        <v>965</v>
      </c>
      <c r="C349" t="s">
        <v>55</v>
      </c>
      <c r="D349" t="s">
        <v>27</v>
      </c>
      <c r="E349" t="s">
        <v>36</v>
      </c>
      <c r="F349" t="s">
        <v>17</v>
      </c>
      <c r="G349" t="s">
        <v>51</v>
      </c>
      <c r="H349">
        <v>25</v>
      </c>
      <c r="I349" t="str">
        <f>IF(TBL[[#This Row],[Age]]&gt;=60, "Old", IF(TBL[[#This Row],[Age]]&gt;=30, "Adult", "Young"))</f>
        <v>Young</v>
      </c>
      <c r="J349" s="1">
        <v>44327</v>
      </c>
      <c r="K349">
        <f t="shared" si="5"/>
        <v>2021</v>
      </c>
      <c r="L349">
        <f>MONTH(TBL[[#This Row],[Hire Date]])</f>
        <v>5</v>
      </c>
      <c r="M349" s="7">
        <v>83934</v>
      </c>
      <c r="N349" s="8">
        <v>0</v>
      </c>
      <c r="O349" t="s">
        <v>19</v>
      </c>
      <c r="P349" t="s">
        <v>45</v>
      </c>
      <c r="Q349" s="1" t="s">
        <v>21</v>
      </c>
    </row>
    <row r="350" spans="1:17" x14ac:dyDescent="0.35">
      <c r="A350" t="s">
        <v>966</v>
      </c>
      <c r="B350" t="s">
        <v>967</v>
      </c>
      <c r="C350" t="s">
        <v>40</v>
      </c>
      <c r="D350" t="s">
        <v>65</v>
      </c>
      <c r="E350" t="s">
        <v>16</v>
      </c>
      <c r="F350" t="s">
        <v>28</v>
      </c>
      <c r="G350" t="s">
        <v>18</v>
      </c>
      <c r="H350">
        <v>36</v>
      </c>
      <c r="I350" t="str">
        <f>IF(TBL[[#This Row],[Age]]&gt;=60, "Old", IF(TBL[[#This Row],[Age]]&gt;=30, "Adult", "Young"))</f>
        <v>Adult</v>
      </c>
      <c r="J350" s="1">
        <v>42616</v>
      </c>
      <c r="K350">
        <f t="shared" si="5"/>
        <v>2016</v>
      </c>
      <c r="L350">
        <f>MONTH(TBL[[#This Row],[Hire Date]])</f>
        <v>9</v>
      </c>
      <c r="M350" s="7">
        <v>150399</v>
      </c>
      <c r="N350" s="8">
        <v>0.28000000000000003</v>
      </c>
      <c r="O350" t="s">
        <v>19</v>
      </c>
      <c r="P350" t="s">
        <v>20</v>
      </c>
      <c r="Q350" s="1" t="s">
        <v>21</v>
      </c>
    </row>
    <row r="351" spans="1:17" x14ac:dyDescent="0.35">
      <c r="A351" t="s">
        <v>321</v>
      </c>
      <c r="B351" t="s">
        <v>968</v>
      </c>
      <c r="C351" t="s">
        <v>40</v>
      </c>
      <c r="D351" t="s">
        <v>23</v>
      </c>
      <c r="E351" t="s">
        <v>16</v>
      </c>
      <c r="F351" t="s">
        <v>28</v>
      </c>
      <c r="G351" t="s">
        <v>24</v>
      </c>
      <c r="H351">
        <v>37</v>
      </c>
      <c r="I351" t="str">
        <f>IF(TBL[[#This Row],[Age]]&gt;=60, "Old", IF(TBL[[#This Row],[Age]]&gt;=30, "Adult", "Young"))</f>
        <v>Adult</v>
      </c>
      <c r="J351" s="1">
        <v>41048</v>
      </c>
      <c r="K351">
        <f t="shared" si="5"/>
        <v>2012</v>
      </c>
      <c r="L351">
        <f>MONTH(TBL[[#This Row],[Hire Date]])</f>
        <v>5</v>
      </c>
      <c r="M351" s="7">
        <v>160280</v>
      </c>
      <c r="N351" s="8">
        <v>0.19</v>
      </c>
      <c r="O351" t="s">
        <v>33</v>
      </c>
      <c r="P351" t="s">
        <v>60</v>
      </c>
      <c r="Q351" s="1" t="s">
        <v>21</v>
      </c>
    </row>
    <row r="352" spans="1:17" x14ac:dyDescent="0.35">
      <c r="A352" t="s">
        <v>969</v>
      </c>
      <c r="B352" t="s">
        <v>383</v>
      </c>
      <c r="C352" t="s">
        <v>83</v>
      </c>
      <c r="D352" t="s">
        <v>23</v>
      </c>
      <c r="E352" t="s">
        <v>44</v>
      </c>
      <c r="F352" t="s">
        <v>28</v>
      </c>
      <c r="G352" t="s">
        <v>24</v>
      </c>
      <c r="H352">
        <v>57</v>
      </c>
      <c r="I352" t="str">
        <f>IF(TBL[[#This Row],[Age]]&gt;=60, "Old", IF(TBL[[#This Row],[Age]]&gt;=30, "Adult", "Young"))</f>
        <v>Adult</v>
      </c>
      <c r="J352" s="1">
        <v>35548</v>
      </c>
      <c r="K352">
        <f t="shared" si="5"/>
        <v>1997</v>
      </c>
      <c r="L352">
        <f>MONTH(TBL[[#This Row],[Hire Date]])</f>
        <v>4</v>
      </c>
      <c r="M352" s="7">
        <v>54051</v>
      </c>
      <c r="N352" s="8">
        <v>0</v>
      </c>
      <c r="O352" t="s">
        <v>19</v>
      </c>
      <c r="P352" t="s">
        <v>45</v>
      </c>
      <c r="Q352" s="1">
        <v>36079</v>
      </c>
    </row>
    <row r="353" spans="1:17" x14ac:dyDescent="0.35">
      <c r="A353" t="s">
        <v>970</v>
      </c>
      <c r="B353" t="s">
        <v>971</v>
      </c>
      <c r="C353" t="s">
        <v>40</v>
      </c>
      <c r="D353" t="s">
        <v>31</v>
      </c>
      <c r="E353" t="s">
        <v>16</v>
      </c>
      <c r="F353" t="s">
        <v>17</v>
      </c>
      <c r="G353" t="s">
        <v>51</v>
      </c>
      <c r="H353">
        <v>59</v>
      </c>
      <c r="I353" t="str">
        <f>IF(TBL[[#This Row],[Age]]&gt;=60, "Old", IF(TBL[[#This Row],[Age]]&gt;=30, "Adult", "Young"))</f>
        <v>Adult</v>
      </c>
      <c r="J353" s="1">
        <v>37726</v>
      </c>
      <c r="K353">
        <f t="shared" si="5"/>
        <v>2003</v>
      </c>
      <c r="L353">
        <f>MONTH(TBL[[#This Row],[Hire Date]])</f>
        <v>4</v>
      </c>
      <c r="M353" s="7">
        <v>150699</v>
      </c>
      <c r="N353" s="8">
        <v>0.28999999999999998</v>
      </c>
      <c r="O353" t="s">
        <v>52</v>
      </c>
      <c r="P353" t="s">
        <v>53</v>
      </c>
      <c r="Q353" s="1" t="s">
        <v>21</v>
      </c>
    </row>
    <row r="354" spans="1:17" x14ac:dyDescent="0.35">
      <c r="A354" t="s">
        <v>264</v>
      </c>
      <c r="B354" t="s">
        <v>972</v>
      </c>
      <c r="C354" t="s">
        <v>64</v>
      </c>
      <c r="D354" t="s">
        <v>43</v>
      </c>
      <c r="E354" t="s">
        <v>44</v>
      </c>
      <c r="F354" t="s">
        <v>28</v>
      </c>
      <c r="G354" t="s">
        <v>51</v>
      </c>
      <c r="H354">
        <v>37</v>
      </c>
      <c r="I354" t="str">
        <f>IF(TBL[[#This Row],[Age]]&gt;=60, "Old", IF(TBL[[#This Row],[Age]]&gt;=30, "Adult", "Young"))</f>
        <v>Adult</v>
      </c>
      <c r="J354" s="1">
        <v>41363</v>
      </c>
      <c r="K354">
        <f t="shared" si="5"/>
        <v>2013</v>
      </c>
      <c r="L354">
        <f>MONTH(TBL[[#This Row],[Hire Date]])</f>
        <v>3</v>
      </c>
      <c r="M354" s="7">
        <v>69570</v>
      </c>
      <c r="N354" s="8">
        <v>0</v>
      </c>
      <c r="O354" t="s">
        <v>19</v>
      </c>
      <c r="P354" t="s">
        <v>45</v>
      </c>
      <c r="Q354" s="1" t="s">
        <v>21</v>
      </c>
    </row>
    <row r="355" spans="1:17" x14ac:dyDescent="0.35">
      <c r="A355" t="s">
        <v>173</v>
      </c>
      <c r="B355" t="s">
        <v>973</v>
      </c>
      <c r="C355" t="s">
        <v>82</v>
      </c>
      <c r="D355" t="s">
        <v>27</v>
      </c>
      <c r="E355" t="s">
        <v>36</v>
      </c>
      <c r="F355" t="s">
        <v>17</v>
      </c>
      <c r="G355" t="s">
        <v>24</v>
      </c>
      <c r="H355">
        <v>30</v>
      </c>
      <c r="I355" t="str">
        <f>IF(TBL[[#This Row],[Age]]&gt;=60, "Old", IF(TBL[[#This Row],[Age]]&gt;=30, "Adult", "Young"))</f>
        <v>Adult</v>
      </c>
      <c r="J355" s="1">
        <v>43553</v>
      </c>
      <c r="K355">
        <f t="shared" si="5"/>
        <v>2019</v>
      </c>
      <c r="L355">
        <f>MONTH(TBL[[#This Row],[Hire Date]])</f>
        <v>3</v>
      </c>
      <c r="M355" s="7">
        <v>86774</v>
      </c>
      <c r="N355" s="8">
        <v>0</v>
      </c>
      <c r="O355" t="s">
        <v>33</v>
      </c>
      <c r="P355" t="s">
        <v>34</v>
      </c>
      <c r="Q355" s="1" t="s">
        <v>21</v>
      </c>
    </row>
    <row r="356" spans="1:17" x14ac:dyDescent="0.35">
      <c r="A356" t="s">
        <v>974</v>
      </c>
      <c r="B356" t="s">
        <v>975</v>
      </c>
      <c r="C356" t="s">
        <v>22</v>
      </c>
      <c r="D356" t="s">
        <v>23</v>
      </c>
      <c r="E356" t="s">
        <v>36</v>
      </c>
      <c r="F356" t="s">
        <v>28</v>
      </c>
      <c r="G356" t="s">
        <v>18</v>
      </c>
      <c r="H356">
        <v>49</v>
      </c>
      <c r="I356" t="str">
        <f>IF(TBL[[#This Row],[Age]]&gt;=60, "Old", IF(TBL[[#This Row],[Age]]&gt;=30, "Adult", "Young"))</f>
        <v>Adult</v>
      </c>
      <c r="J356" s="1">
        <v>36979</v>
      </c>
      <c r="K356">
        <f t="shared" si="5"/>
        <v>2001</v>
      </c>
      <c r="L356">
        <f>MONTH(TBL[[#This Row],[Hire Date]])</f>
        <v>3</v>
      </c>
      <c r="M356" s="7">
        <v>57606</v>
      </c>
      <c r="N356" s="8">
        <v>0</v>
      </c>
      <c r="O356" t="s">
        <v>19</v>
      </c>
      <c r="P356" t="s">
        <v>45</v>
      </c>
      <c r="Q356" s="1" t="s">
        <v>21</v>
      </c>
    </row>
    <row r="357" spans="1:17" x14ac:dyDescent="0.35">
      <c r="A357" t="s">
        <v>397</v>
      </c>
      <c r="B357" t="s">
        <v>181</v>
      </c>
      <c r="C357" t="s">
        <v>61</v>
      </c>
      <c r="D357" t="s">
        <v>15</v>
      </c>
      <c r="E357" t="s">
        <v>32</v>
      </c>
      <c r="F357" t="s">
        <v>17</v>
      </c>
      <c r="G357" t="s">
        <v>24</v>
      </c>
      <c r="H357">
        <v>48</v>
      </c>
      <c r="I357" t="str">
        <f>IF(TBL[[#This Row],[Age]]&gt;=60, "Old", IF(TBL[[#This Row],[Age]]&gt;=30, "Adult", "Young"))</f>
        <v>Adult</v>
      </c>
      <c r="J357" s="1">
        <v>37144</v>
      </c>
      <c r="K357">
        <f t="shared" si="5"/>
        <v>2001</v>
      </c>
      <c r="L357">
        <f>MONTH(TBL[[#This Row],[Hire Date]])</f>
        <v>9</v>
      </c>
      <c r="M357" s="7">
        <v>125730</v>
      </c>
      <c r="N357" s="8">
        <v>0.11</v>
      </c>
      <c r="O357" t="s">
        <v>33</v>
      </c>
      <c r="P357" t="s">
        <v>80</v>
      </c>
      <c r="Q357" s="1" t="s">
        <v>21</v>
      </c>
    </row>
    <row r="358" spans="1:17" x14ac:dyDescent="0.35">
      <c r="A358" t="s">
        <v>221</v>
      </c>
      <c r="B358" t="s">
        <v>976</v>
      </c>
      <c r="C358" t="s">
        <v>98</v>
      </c>
      <c r="D358" t="s">
        <v>27</v>
      </c>
      <c r="E358" t="s">
        <v>16</v>
      </c>
      <c r="F358" t="s">
        <v>17</v>
      </c>
      <c r="G358" t="s">
        <v>24</v>
      </c>
      <c r="H358">
        <v>51</v>
      </c>
      <c r="I358" t="str">
        <f>IF(TBL[[#This Row],[Age]]&gt;=60, "Old", IF(TBL[[#This Row],[Age]]&gt;=30, "Adult", "Young"))</f>
        <v>Adult</v>
      </c>
      <c r="J358" s="1">
        <v>40964</v>
      </c>
      <c r="K358">
        <f t="shared" si="5"/>
        <v>2012</v>
      </c>
      <c r="L358">
        <f>MONTH(TBL[[#This Row],[Hire Date]])</f>
        <v>2</v>
      </c>
      <c r="M358" s="7">
        <v>64170</v>
      </c>
      <c r="N358" s="8">
        <v>0</v>
      </c>
      <c r="O358" t="s">
        <v>19</v>
      </c>
      <c r="P358" t="s">
        <v>29</v>
      </c>
      <c r="Q358" s="1" t="s">
        <v>21</v>
      </c>
    </row>
    <row r="359" spans="1:17" x14ac:dyDescent="0.35">
      <c r="A359" t="s">
        <v>977</v>
      </c>
      <c r="B359" t="s">
        <v>978</v>
      </c>
      <c r="C359" t="s">
        <v>77</v>
      </c>
      <c r="D359" t="s">
        <v>23</v>
      </c>
      <c r="E359" t="s">
        <v>44</v>
      </c>
      <c r="F359" t="s">
        <v>28</v>
      </c>
      <c r="G359" t="s">
        <v>51</v>
      </c>
      <c r="H359">
        <v>56</v>
      </c>
      <c r="I359" t="str">
        <f>IF(TBL[[#This Row],[Age]]&gt;=60, "Old", IF(TBL[[#This Row],[Age]]&gt;=30, "Adult", "Young"))</f>
        <v>Adult</v>
      </c>
      <c r="J359" s="1">
        <v>35816</v>
      </c>
      <c r="K359">
        <f t="shared" si="5"/>
        <v>1998</v>
      </c>
      <c r="L359">
        <f>MONTH(TBL[[#This Row],[Hire Date]])</f>
        <v>1</v>
      </c>
      <c r="M359" s="7">
        <v>72303</v>
      </c>
      <c r="N359" s="8">
        <v>0</v>
      </c>
      <c r="O359" t="s">
        <v>19</v>
      </c>
      <c r="P359" t="s">
        <v>39</v>
      </c>
      <c r="Q359" s="1" t="s">
        <v>21</v>
      </c>
    </row>
    <row r="360" spans="1:17" x14ac:dyDescent="0.35">
      <c r="A360" t="s">
        <v>979</v>
      </c>
      <c r="B360" t="s">
        <v>980</v>
      </c>
      <c r="C360" t="s">
        <v>62</v>
      </c>
      <c r="D360" t="s">
        <v>50</v>
      </c>
      <c r="E360" t="s">
        <v>16</v>
      </c>
      <c r="F360" t="s">
        <v>28</v>
      </c>
      <c r="G360" t="s">
        <v>51</v>
      </c>
      <c r="H360">
        <v>36</v>
      </c>
      <c r="I360" t="str">
        <f>IF(TBL[[#This Row],[Age]]&gt;=60, "Old", IF(TBL[[#This Row],[Age]]&gt;=30, "Adult", "Young"))</f>
        <v>Adult</v>
      </c>
      <c r="J360" s="1">
        <v>41116</v>
      </c>
      <c r="K360">
        <f t="shared" si="5"/>
        <v>2012</v>
      </c>
      <c r="L360">
        <f>MONTH(TBL[[#This Row],[Hire Date]])</f>
        <v>7</v>
      </c>
      <c r="M360" s="7">
        <v>105891</v>
      </c>
      <c r="N360" s="8">
        <v>7.0000000000000007E-2</v>
      </c>
      <c r="O360" t="s">
        <v>19</v>
      </c>
      <c r="P360" t="s">
        <v>63</v>
      </c>
      <c r="Q360" s="1" t="s">
        <v>21</v>
      </c>
    </row>
    <row r="361" spans="1:17" x14ac:dyDescent="0.35">
      <c r="A361" t="s">
        <v>287</v>
      </c>
      <c r="B361" t="s">
        <v>981</v>
      </c>
      <c r="C361" t="s">
        <v>14</v>
      </c>
      <c r="D361" t="s">
        <v>43</v>
      </c>
      <c r="E361" t="s">
        <v>44</v>
      </c>
      <c r="F361" t="s">
        <v>28</v>
      </c>
      <c r="G361" t="s">
        <v>24</v>
      </c>
      <c r="H361">
        <v>38</v>
      </c>
      <c r="I361" t="str">
        <f>IF(TBL[[#This Row],[Age]]&gt;=60, "Old", IF(TBL[[#This Row],[Age]]&gt;=30, "Adult", "Young"))</f>
        <v>Adult</v>
      </c>
      <c r="J361" s="1">
        <v>44433</v>
      </c>
      <c r="K361">
        <f t="shared" si="5"/>
        <v>2021</v>
      </c>
      <c r="L361">
        <f>MONTH(TBL[[#This Row],[Hire Date]])</f>
        <v>8</v>
      </c>
      <c r="M361" s="7">
        <v>255230</v>
      </c>
      <c r="N361" s="8">
        <v>0.36</v>
      </c>
      <c r="O361" t="s">
        <v>19</v>
      </c>
      <c r="P361" t="s">
        <v>25</v>
      </c>
      <c r="Q361" s="1" t="s">
        <v>21</v>
      </c>
    </row>
    <row r="362" spans="1:17" x14ac:dyDescent="0.35">
      <c r="A362" t="s">
        <v>982</v>
      </c>
      <c r="B362" t="s">
        <v>983</v>
      </c>
      <c r="C362" t="s">
        <v>64</v>
      </c>
      <c r="D362" t="s">
        <v>50</v>
      </c>
      <c r="E362" t="s">
        <v>36</v>
      </c>
      <c r="F362" t="s">
        <v>17</v>
      </c>
      <c r="G362" t="s">
        <v>51</v>
      </c>
      <c r="H362">
        <v>56</v>
      </c>
      <c r="I362" t="str">
        <f>IF(TBL[[#This Row],[Age]]&gt;=60, "Old", IF(TBL[[#This Row],[Age]]&gt;=30, "Adult", "Young"))</f>
        <v>Adult</v>
      </c>
      <c r="J362" s="1">
        <v>33770</v>
      </c>
      <c r="K362">
        <f t="shared" si="5"/>
        <v>1992</v>
      </c>
      <c r="L362">
        <f>MONTH(TBL[[#This Row],[Hire Date]])</f>
        <v>6</v>
      </c>
      <c r="M362" s="7">
        <v>59591</v>
      </c>
      <c r="N362" s="8">
        <v>0</v>
      </c>
      <c r="O362" t="s">
        <v>52</v>
      </c>
      <c r="P362" t="s">
        <v>53</v>
      </c>
      <c r="Q362" s="1" t="s">
        <v>21</v>
      </c>
    </row>
    <row r="363" spans="1:17" x14ac:dyDescent="0.35">
      <c r="A363" t="s">
        <v>984</v>
      </c>
      <c r="B363" t="s">
        <v>985</v>
      </c>
      <c r="C363" t="s">
        <v>14</v>
      </c>
      <c r="D363" t="s">
        <v>23</v>
      </c>
      <c r="E363" t="s">
        <v>36</v>
      </c>
      <c r="F363" t="s">
        <v>17</v>
      </c>
      <c r="G363" t="s">
        <v>24</v>
      </c>
      <c r="H363">
        <v>52</v>
      </c>
      <c r="I363" t="str">
        <f>IF(TBL[[#This Row],[Age]]&gt;=60, "Old", IF(TBL[[#This Row],[Age]]&gt;=30, "Adult", "Young"))</f>
        <v>Adult</v>
      </c>
      <c r="J363" s="1">
        <v>41113</v>
      </c>
      <c r="K363">
        <f t="shared" si="5"/>
        <v>2012</v>
      </c>
      <c r="L363">
        <f>MONTH(TBL[[#This Row],[Hire Date]])</f>
        <v>7</v>
      </c>
      <c r="M363" s="7">
        <v>187048</v>
      </c>
      <c r="N363" s="8">
        <v>0.32</v>
      </c>
      <c r="O363" t="s">
        <v>33</v>
      </c>
      <c r="P363" t="s">
        <v>34</v>
      </c>
      <c r="Q363" s="1" t="s">
        <v>21</v>
      </c>
    </row>
    <row r="364" spans="1:17" x14ac:dyDescent="0.35">
      <c r="A364" t="s">
        <v>183</v>
      </c>
      <c r="B364" t="s">
        <v>986</v>
      </c>
      <c r="C364" t="s">
        <v>64</v>
      </c>
      <c r="D364" t="s">
        <v>15</v>
      </c>
      <c r="E364" t="s">
        <v>44</v>
      </c>
      <c r="F364" t="s">
        <v>17</v>
      </c>
      <c r="G364" t="s">
        <v>51</v>
      </c>
      <c r="H364">
        <v>53</v>
      </c>
      <c r="I364" t="str">
        <f>IF(TBL[[#This Row],[Age]]&gt;=60, "Old", IF(TBL[[#This Row],[Age]]&gt;=30, "Adult", "Young"))</f>
        <v>Adult</v>
      </c>
      <c r="J364" s="1">
        <v>37296</v>
      </c>
      <c r="K364">
        <f t="shared" si="5"/>
        <v>2002</v>
      </c>
      <c r="L364">
        <f>MONTH(TBL[[#This Row],[Hire Date]])</f>
        <v>2</v>
      </c>
      <c r="M364" s="7">
        <v>58605</v>
      </c>
      <c r="N364" s="8">
        <v>0</v>
      </c>
      <c r="O364" t="s">
        <v>19</v>
      </c>
      <c r="P364" t="s">
        <v>39</v>
      </c>
      <c r="Q364" s="1" t="s">
        <v>21</v>
      </c>
    </row>
    <row r="365" spans="1:17" x14ac:dyDescent="0.35">
      <c r="A365" t="s">
        <v>987</v>
      </c>
      <c r="B365" t="s">
        <v>988</v>
      </c>
      <c r="C365" t="s">
        <v>40</v>
      </c>
      <c r="D365" t="s">
        <v>31</v>
      </c>
      <c r="E365" t="s">
        <v>32</v>
      </c>
      <c r="F365" t="s">
        <v>17</v>
      </c>
      <c r="G365" t="s">
        <v>51</v>
      </c>
      <c r="H365">
        <v>60</v>
      </c>
      <c r="I365" t="str">
        <f>IF(TBL[[#This Row],[Age]]&gt;=60, "Old", IF(TBL[[#This Row],[Age]]&gt;=30, "Adult", "Young"))</f>
        <v>Old</v>
      </c>
      <c r="J365" s="1">
        <v>42739</v>
      </c>
      <c r="K365">
        <f t="shared" si="5"/>
        <v>2017</v>
      </c>
      <c r="L365">
        <f>MONTH(TBL[[#This Row],[Hire Date]])</f>
        <v>1</v>
      </c>
      <c r="M365" s="7">
        <v>178502</v>
      </c>
      <c r="N365" s="8">
        <v>0.2</v>
      </c>
      <c r="O365" t="s">
        <v>19</v>
      </c>
      <c r="P365" t="s">
        <v>25</v>
      </c>
      <c r="Q365" s="1" t="s">
        <v>21</v>
      </c>
    </row>
    <row r="366" spans="1:17" x14ac:dyDescent="0.35">
      <c r="A366" t="s">
        <v>989</v>
      </c>
      <c r="B366" t="s">
        <v>990</v>
      </c>
      <c r="C366" t="s">
        <v>62</v>
      </c>
      <c r="D366" t="s">
        <v>65</v>
      </c>
      <c r="E366" t="s">
        <v>44</v>
      </c>
      <c r="F366" t="s">
        <v>28</v>
      </c>
      <c r="G366" t="s">
        <v>24</v>
      </c>
      <c r="H366">
        <v>63</v>
      </c>
      <c r="I366" t="str">
        <f>IF(TBL[[#This Row],[Age]]&gt;=60, "Old", IF(TBL[[#This Row],[Age]]&gt;=30, "Adult", "Young"))</f>
        <v>Old</v>
      </c>
      <c r="J366" s="1">
        <v>42214</v>
      </c>
      <c r="K366">
        <f t="shared" si="5"/>
        <v>2015</v>
      </c>
      <c r="L366">
        <f>MONTH(TBL[[#This Row],[Hire Date]])</f>
        <v>7</v>
      </c>
      <c r="M366" s="7">
        <v>103724</v>
      </c>
      <c r="N366" s="8">
        <v>0.05</v>
      </c>
      <c r="O366" t="s">
        <v>33</v>
      </c>
      <c r="P366" t="s">
        <v>74</v>
      </c>
      <c r="Q366" s="1" t="s">
        <v>21</v>
      </c>
    </row>
    <row r="367" spans="1:17" x14ac:dyDescent="0.35">
      <c r="A367" t="s">
        <v>991</v>
      </c>
      <c r="B367" t="s">
        <v>992</v>
      </c>
      <c r="C367" t="s">
        <v>40</v>
      </c>
      <c r="D367" t="s">
        <v>31</v>
      </c>
      <c r="E367" t="s">
        <v>16</v>
      </c>
      <c r="F367" t="s">
        <v>17</v>
      </c>
      <c r="G367" t="s">
        <v>51</v>
      </c>
      <c r="H367">
        <v>37</v>
      </c>
      <c r="I367" t="str">
        <f>IF(TBL[[#This Row],[Age]]&gt;=60, "Old", IF(TBL[[#This Row],[Age]]&gt;=30, "Adult", "Young"))</f>
        <v>Adult</v>
      </c>
      <c r="J367" s="1">
        <v>39528</v>
      </c>
      <c r="K367">
        <f t="shared" si="5"/>
        <v>2008</v>
      </c>
      <c r="L367">
        <f>MONTH(TBL[[#This Row],[Hire Date]])</f>
        <v>3</v>
      </c>
      <c r="M367" s="7">
        <v>156277</v>
      </c>
      <c r="N367" s="8">
        <v>0.22</v>
      </c>
      <c r="O367" t="s">
        <v>52</v>
      </c>
      <c r="P367" t="s">
        <v>81</v>
      </c>
      <c r="Q367" s="1" t="s">
        <v>21</v>
      </c>
    </row>
    <row r="368" spans="1:17" x14ac:dyDescent="0.35">
      <c r="A368" t="s">
        <v>993</v>
      </c>
      <c r="B368" t="s">
        <v>994</v>
      </c>
      <c r="C368" t="s">
        <v>129</v>
      </c>
      <c r="D368" t="s">
        <v>31</v>
      </c>
      <c r="E368" t="s">
        <v>16</v>
      </c>
      <c r="F368" t="s">
        <v>17</v>
      </c>
      <c r="G368" t="s">
        <v>51</v>
      </c>
      <c r="H368">
        <v>30</v>
      </c>
      <c r="I368" t="str">
        <f>IF(TBL[[#This Row],[Age]]&gt;=60, "Old", IF(TBL[[#This Row],[Age]]&gt;=30, "Adult", "Young"))</f>
        <v>Adult</v>
      </c>
      <c r="J368" s="1">
        <v>43086</v>
      </c>
      <c r="K368">
        <f t="shared" si="5"/>
        <v>2017</v>
      </c>
      <c r="L368">
        <f>MONTH(TBL[[#This Row],[Hire Date]])</f>
        <v>12</v>
      </c>
      <c r="M368" s="7">
        <v>87744</v>
      </c>
      <c r="N368" s="8">
        <v>0</v>
      </c>
      <c r="O368" t="s">
        <v>52</v>
      </c>
      <c r="P368" t="s">
        <v>53</v>
      </c>
      <c r="Q368" s="1" t="s">
        <v>21</v>
      </c>
    </row>
    <row r="369" spans="1:17" x14ac:dyDescent="0.35">
      <c r="A369" t="s">
        <v>995</v>
      </c>
      <c r="B369" t="s">
        <v>996</v>
      </c>
      <c r="C369" t="s">
        <v>64</v>
      </c>
      <c r="D369" t="s">
        <v>15</v>
      </c>
      <c r="E369" t="s">
        <v>36</v>
      </c>
      <c r="F369" t="s">
        <v>28</v>
      </c>
      <c r="G369" t="s">
        <v>18</v>
      </c>
      <c r="H369">
        <v>30</v>
      </c>
      <c r="I369" t="str">
        <f>IF(TBL[[#This Row],[Age]]&gt;=60, "Old", IF(TBL[[#This Row],[Age]]&gt;=30, "Adult", "Young"))</f>
        <v>Adult</v>
      </c>
      <c r="J369" s="1">
        <v>43542</v>
      </c>
      <c r="K369">
        <f t="shared" si="5"/>
        <v>2019</v>
      </c>
      <c r="L369">
        <f>MONTH(TBL[[#This Row],[Hire Date]])</f>
        <v>3</v>
      </c>
      <c r="M369" s="7">
        <v>54714</v>
      </c>
      <c r="N369" s="8">
        <v>0</v>
      </c>
      <c r="O369" t="s">
        <v>19</v>
      </c>
      <c r="P369" t="s">
        <v>29</v>
      </c>
      <c r="Q369" s="1" t="s">
        <v>21</v>
      </c>
    </row>
    <row r="370" spans="1:17" x14ac:dyDescent="0.35">
      <c r="A370" t="s">
        <v>997</v>
      </c>
      <c r="B370" t="s">
        <v>998</v>
      </c>
      <c r="C370" t="s">
        <v>26</v>
      </c>
      <c r="D370" t="s">
        <v>27</v>
      </c>
      <c r="E370" t="s">
        <v>32</v>
      </c>
      <c r="F370" t="s">
        <v>17</v>
      </c>
      <c r="G370" t="s">
        <v>24</v>
      </c>
      <c r="H370">
        <v>45</v>
      </c>
      <c r="I370" t="str">
        <f>IF(TBL[[#This Row],[Age]]&gt;=60, "Old", IF(TBL[[#This Row],[Age]]&gt;=30, "Adult", "Young"))</f>
        <v>Adult</v>
      </c>
      <c r="J370" s="1">
        <v>41511</v>
      </c>
      <c r="K370">
        <f t="shared" si="5"/>
        <v>2013</v>
      </c>
      <c r="L370">
        <f>MONTH(TBL[[#This Row],[Hire Date]])</f>
        <v>8</v>
      </c>
      <c r="M370" s="7">
        <v>99169</v>
      </c>
      <c r="N370" s="8">
        <v>0</v>
      </c>
      <c r="O370" t="s">
        <v>33</v>
      </c>
      <c r="P370" t="s">
        <v>60</v>
      </c>
      <c r="Q370" s="1" t="s">
        <v>21</v>
      </c>
    </row>
    <row r="371" spans="1:17" x14ac:dyDescent="0.35">
      <c r="A371" t="s">
        <v>302</v>
      </c>
      <c r="B371" t="s">
        <v>999</v>
      </c>
      <c r="C371" t="s">
        <v>61</v>
      </c>
      <c r="D371" t="s">
        <v>65</v>
      </c>
      <c r="E371" t="s">
        <v>16</v>
      </c>
      <c r="F371" t="s">
        <v>17</v>
      </c>
      <c r="G371" t="s">
        <v>24</v>
      </c>
      <c r="H371">
        <v>55</v>
      </c>
      <c r="I371" t="str">
        <f>IF(TBL[[#This Row],[Age]]&gt;=60, "Old", IF(TBL[[#This Row],[Age]]&gt;=30, "Adult", "Young"))</f>
        <v>Adult</v>
      </c>
      <c r="J371" s="1">
        <v>38888</v>
      </c>
      <c r="K371">
        <f t="shared" si="5"/>
        <v>2006</v>
      </c>
      <c r="L371">
        <f>MONTH(TBL[[#This Row],[Hire Date]])</f>
        <v>6</v>
      </c>
      <c r="M371" s="7">
        <v>142628</v>
      </c>
      <c r="N371" s="8">
        <v>0.12</v>
      </c>
      <c r="O371" t="s">
        <v>33</v>
      </c>
      <c r="P371" t="s">
        <v>80</v>
      </c>
      <c r="Q371" s="1" t="s">
        <v>21</v>
      </c>
    </row>
    <row r="372" spans="1:17" x14ac:dyDescent="0.35">
      <c r="A372" t="s">
        <v>271</v>
      </c>
      <c r="B372" t="s">
        <v>1000</v>
      </c>
      <c r="C372" t="s">
        <v>42</v>
      </c>
      <c r="D372" t="s">
        <v>43</v>
      </c>
      <c r="E372" t="s">
        <v>36</v>
      </c>
      <c r="F372" t="s">
        <v>17</v>
      </c>
      <c r="G372" t="s">
        <v>51</v>
      </c>
      <c r="H372">
        <v>33</v>
      </c>
      <c r="I372" t="str">
        <f>IF(TBL[[#This Row],[Age]]&gt;=60, "Old", IF(TBL[[#This Row],[Age]]&gt;=30, "Adult", "Young"))</f>
        <v>Adult</v>
      </c>
      <c r="J372" s="1">
        <v>41756</v>
      </c>
      <c r="K372">
        <f t="shared" si="5"/>
        <v>2014</v>
      </c>
      <c r="L372">
        <f>MONTH(TBL[[#This Row],[Hire Date]])</f>
        <v>4</v>
      </c>
      <c r="M372" s="7">
        <v>75869</v>
      </c>
      <c r="N372" s="8">
        <v>0</v>
      </c>
      <c r="O372" t="s">
        <v>52</v>
      </c>
      <c r="P372" t="s">
        <v>53</v>
      </c>
      <c r="Q372" s="1" t="s">
        <v>21</v>
      </c>
    </row>
    <row r="373" spans="1:17" x14ac:dyDescent="0.35">
      <c r="A373" t="s">
        <v>276</v>
      </c>
      <c r="B373" t="s">
        <v>1001</v>
      </c>
      <c r="C373" t="s">
        <v>71</v>
      </c>
      <c r="D373" t="s">
        <v>27</v>
      </c>
      <c r="E373" t="s">
        <v>36</v>
      </c>
      <c r="F373" t="s">
        <v>17</v>
      </c>
      <c r="G373" t="s">
        <v>18</v>
      </c>
      <c r="H373">
        <v>65</v>
      </c>
      <c r="I373" t="str">
        <f>IF(TBL[[#This Row],[Age]]&gt;=60, "Old", IF(TBL[[#This Row],[Age]]&gt;=30, "Adult", "Young"))</f>
        <v>Old</v>
      </c>
      <c r="J373" s="1">
        <v>43234</v>
      </c>
      <c r="K373">
        <f t="shared" si="5"/>
        <v>2018</v>
      </c>
      <c r="L373">
        <f>MONTH(TBL[[#This Row],[Hire Date]])</f>
        <v>5</v>
      </c>
      <c r="M373" s="7">
        <v>60985</v>
      </c>
      <c r="N373" s="8">
        <v>0</v>
      </c>
      <c r="O373" t="s">
        <v>19</v>
      </c>
      <c r="P373" t="s">
        <v>63</v>
      </c>
      <c r="Q373" s="1" t="s">
        <v>21</v>
      </c>
    </row>
    <row r="374" spans="1:17" x14ac:dyDescent="0.35">
      <c r="A374" t="s">
        <v>175</v>
      </c>
      <c r="B374" t="s">
        <v>1002</v>
      </c>
      <c r="C374" t="s">
        <v>61</v>
      </c>
      <c r="D374" t="s">
        <v>27</v>
      </c>
      <c r="E374" t="s">
        <v>16</v>
      </c>
      <c r="F374" t="s">
        <v>17</v>
      </c>
      <c r="G374" t="s">
        <v>24</v>
      </c>
      <c r="H374">
        <v>60</v>
      </c>
      <c r="I374" t="str">
        <f>IF(TBL[[#This Row],[Age]]&gt;=60, "Old", IF(TBL[[#This Row],[Age]]&gt;=30, "Adult", "Young"))</f>
        <v>Old</v>
      </c>
      <c r="J374" s="1">
        <v>40383</v>
      </c>
      <c r="K374">
        <f t="shared" si="5"/>
        <v>2010</v>
      </c>
      <c r="L374">
        <f>MONTH(TBL[[#This Row],[Hire Date]])</f>
        <v>7</v>
      </c>
      <c r="M374" s="7">
        <v>126911</v>
      </c>
      <c r="N374" s="8">
        <v>0.1</v>
      </c>
      <c r="O374" t="s">
        <v>33</v>
      </c>
      <c r="P374" t="s">
        <v>74</v>
      </c>
      <c r="Q374" s="1" t="s">
        <v>21</v>
      </c>
    </row>
    <row r="375" spans="1:17" x14ac:dyDescent="0.35">
      <c r="A375" t="s">
        <v>1003</v>
      </c>
      <c r="B375" t="s">
        <v>1004</v>
      </c>
      <c r="C375" t="s">
        <v>14</v>
      </c>
      <c r="D375" t="s">
        <v>50</v>
      </c>
      <c r="E375" t="s">
        <v>16</v>
      </c>
      <c r="F375" t="s">
        <v>28</v>
      </c>
      <c r="G375" t="s">
        <v>24</v>
      </c>
      <c r="H375">
        <v>56</v>
      </c>
      <c r="I375" t="str">
        <f>IF(TBL[[#This Row],[Age]]&gt;=60, "Old", IF(TBL[[#This Row],[Age]]&gt;=30, "Adult", "Young"))</f>
        <v>Adult</v>
      </c>
      <c r="J375" s="1">
        <v>38042</v>
      </c>
      <c r="K375">
        <f t="shared" si="5"/>
        <v>2004</v>
      </c>
      <c r="L375">
        <f>MONTH(TBL[[#This Row],[Hire Date]])</f>
        <v>2</v>
      </c>
      <c r="M375" s="7">
        <v>216949</v>
      </c>
      <c r="N375" s="8">
        <v>0.32</v>
      </c>
      <c r="O375" t="s">
        <v>33</v>
      </c>
      <c r="P375" t="s">
        <v>74</v>
      </c>
      <c r="Q375" s="1" t="s">
        <v>21</v>
      </c>
    </row>
    <row r="376" spans="1:17" x14ac:dyDescent="0.35">
      <c r="A376" t="s">
        <v>1005</v>
      </c>
      <c r="B376" t="s">
        <v>1006</v>
      </c>
      <c r="C376" t="s">
        <v>40</v>
      </c>
      <c r="D376" t="s">
        <v>31</v>
      </c>
      <c r="E376" t="s">
        <v>36</v>
      </c>
      <c r="F376" t="s">
        <v>28</v>
      </c>
      <c r="G376" t="s">
        <v>24</v>
      </c>
      <c r="H376">
        <v>53</v>
      </c>
      <c r="I376" t="str">
        <f>IF(TBL[[#This Row],[Age]]&gt;=60, "Old", IF(TBL[[#This Row],[Age]]&gt;=30, "Adult", "Young"))</f>
        <v>Adult</v>
      </c>
      <c r="J376" s="1">
        <v>41204</v>
      </c>
      <c r="K376">
        <f t="shared" si="5"/>
        <v>2012</v>
      </c>
      <c r="L376">
        <f>MONTH(TBL[[#This Row],[Hire Date]])</f>
        <v>10</v>
      </c>
      <c r="M376" s="7">
        <v>168510</v>
      </c>
      <c r="N376" s="8">
        <v>0.28999999999999998</v>
      </c>
      <c r="O376" t="s">
        <v>19</v>
      </c>
      <c r="P376" t="s">
        <v>63</v>
      </c>
      <c r="Q376" s="1" t="s">
        <v>21</v>
      </c>
    </row>
    <row r="377" spans="1:17" x14ac:dyDescent="0.35">
      <c r="A377" t="s">
        <v>1007</v>
      </c>
      <c r="B377" t="s">
        <v>1008</v>
      </c>
      <c r="C377" t="s">
        <v>129</v>
      </c>
      <c r="D377" t="s">
        <v>31</v>
      </c>
      <c r="E377" t="s">
        <v>44</v>
      </c>
      <c r="F377" t="s">
        <v>17</v>
      </c>
      <c r="G377" t="s">
        <v>51</v>
      </c>
      <c r="H377">
        <v>36</v>
      </c>
      <c r="I377" t="str">
        <f>IF(TBL[[#This Row],[Age]]&gt;=60, "Old", IF(TBL[[#This Row],[Age]]&gt;=30, "Adult", "Young"))</f>
        <v>Adult</v>
      </c>
      <c r="J377" s="1">
        <v>42443</v>
      </c>
      <c r="K377">
        <f t="shared" si="5"/>
        <v>2016</v>
      </c>
      <c r="L377">
        <f>MONTH(TBL[[#This Row],[Hire Date]])</f>
        <v>3</v>
      </c>
      <c r="M377" s="7">
        <v>85870</v>
      </c>
      <c r="N377" s="8">
        <v>0</v>
      </c>
      <c r="O377" t="s">
        <v>52</v>
      </c>
      <c r="P377" t="s">
        <v>53</v>
      </c>
      <c r="Q377" s="1" t="s">
        <v>21</v>
      </c>
    </row>
    <row r="378" spans="1:17" x14ac:dyDescent="0.35">
      <c r="A378" t="s">
        <v>232</v>
      </c>
      <c r="B378" t="s">
        <v>1009</v>
      </c>
      <c r="C378" t="s">
        <v>42</v>
      </c>
      <c r="D378" t="s">
        <v>43</v>
      </c>
      <c r="E378" t="s">
        <v>32</v>
      </c>
      <c r="F378" t="s">
        <v>17</v>
      </c>
      <c r="G378" t="s">
        <v>24</v>
      </c>
      <c r="H378">
        <v>46</v>
      </c>
      <c r="I378" t="str">
        <f>IF(TBL[[#This Row],[Age]]&gt;=60, "Old", IF(TBL[[#This Row],[Age]]&gt;=30, "Adult", "Young"))</f>
        <v>Adult</v>
      </c>
      <c r="J378" s="1">
        <v>37271</v>
      </c>
      <c r="K378">
        <f t="shared" si="5"/>
        <v>2002</v>
      </c>
      <c r="L378">
        <f>MONTH(TBL[[#This Row],[Hire Date]])</f>
        <v>1</v>
      </c>
      <c r="M378" s="7">
        <v>86510</v>
      </c>
      <c r="N378" s="8">
        <v>0</v>
      </c>
      <c r="O378" t="s">
        <v>33</v>
      </c>
      <c r="P378" t="s">
        <v>60</v>
      </c>
      <c r="Q378" s="1">
        <v>37623</v>
      </c>
    </row>
    <row r="379" spans="1:17" x14ac:dyDescent="0.35">
      <c r="A379" t="s">
        <v>1010</v>
      </c>
      <c r="B379" t="s">
        <v>1011</v>
      </c>
      <c r="C379" t="s">
        <v>62</v>
      </c>
      <c r="D379" t="s">
        <v>50</v>
      </c>
      <c r="E379" t="s">
        <v>44</v>
      </c>
      <c r="F379" t="s">
        <v>17</v>
      </c>
      <c r="G379" t="s">
        <v>51</v>
      </c>
      <c r="H379">
        <v>38</v>
      </c>
      <c r="I379" t="str">
        <f>IF(TBL[[#This Row],[Age]]&gt;=60, "Old", IF(TBL[[#This Row],[Age]]&gt;=30, "Adult", "Young"))</f>
        <v>Adult</v>
      </c>
      <c r="J379" s="1">
        <v>42999</v>
      </c>
      <c r="K379">
        <f t="shared" si="5"/>
        <v>2017</v>
      </c>
      <c r="L379">
        <f>MONTH(TBL[[#This Row],[Hire Date]])</f>
        <v>9</v>
      </c>
      <c r="M379" s="7">
        <v>119647</v>
      </c>
      <c r="N379" s="8">
        <v>0.09</v>
      </c>
      <c r="O379" t="s">
        <v>52</v>
      </c>
      <c r="P379" t="s">
        <v>53</v>
      </c>
      <c r="Q379" s="1" t="s">
        <v>21</v>
      </c>
    </row>
    <row r="380" spans="1:17" x14ac:dyDescent="0.35">
      <c r="A380" t="s">
        <v>234</v>
      </c>
      <c r="B380" t="s">
        <v>1012</v>
      </c>
      <c r="C380" t="s">
        <v>26</v>
      </c>
      <c r="D380" t="s">
        <v>27</v>
      </c>
      <c r="E380" t="s">
        <v>16</v>
      </c>
      <c r="F380" t="s">
        <v>28</v>
      </c>
      <c r="G380" t="s">
        <v>18</v>
      </c>
      <c r="H380">
        <v>62</v>
      </c>
      <c r="I380" t="str">
        <f>IF(TBL[[#This Row],[Age]]&gt;=60, "Old", IF(TBL[[#This Row],[Age]]&gt;=30, "Adult", "Young"))</f>
        <v>Old</v>
      </c>
      <c r="J380" s="1">
        <v>36996</v>
      </c>
      <c r="K380">
        <f t="shared" si="5"/>
        <v>2001</v>
      </c>
      <c r="L380">
        <f>MONTH(TBL[[#This Row],[Hire Date]])</f>
        <v>4</v>
      </c>
      <c r="M380" s="7">
        <v>80921</v>
      </c>
      <c r="N380" s="8">
        <v>0</v>
      </c>
      <c r="O380" t="s">
        <v>19</v>
      </c>
      <c r="P380" t="s">
        <v>29</v>
      </c>
      <c r="Q380" s="1" t="s">
        <v>21</v>
      </c>
    </row>
    <row r="381" spans="1:17" x14ac:dyDescent="0.35">
      <c r="A381" t="s">
        <v>1013</v>
      </c>
      <c r="B381" t="s">
        <v>1014</v>
      </c>
      <c r="C381" t="s">
        <v>97</v>
      </c>
      <c r="D381" t="s">
        <v>31</v>
      </c>
      <c r="E381" t="s">
        <v>16</v>
      </c>
      <c r="F381" t="s">
        <v>17</v>
      </c>
      <c r="G381" t="s">
        <v>18</v>
      </c>
      <c r="H381">
        <v>61</v>
      </c>
      <c r="I381" t="str">
        <f>IF(TBL[[#This Row],[Age]]&gt;=60, "Old", IF(TBL[[#This Row],[Age]]&gt;=30, "Adult", "Young"))</f>
        <v>Old</v>
      </c>
      <c r="J381" s="1">
        <v>40193</v>
      </c>
      <c r="K381">
        <f t="shared" si="5"/>
        <v>2010</v>
      </c>
      <c r="L381">
        <f>MONTH(TBL[[#This Row],[Hire Date]])</f>
        <v>1</v>
      </c>
      <c r="M381" s="7">
        <v>98110</v>
      </c>
      <c r="N381" s="8">
        <v>0.13</v>
      </c>
      <c r="O381" t="s">
        <v>19</v>
      </c>
      <c r="P381" t="s">
        <v>20</v>
      </c>
      <c r="Q381" s="1" t="s">
        <v>21</v>
      </c>
    </row>
    <row r="382" spans="1:17" x14ac:dyDescent="0.35">
      <c r="A382" t="s">
        <v>393</v>
      </c>
      <c r="B382" t="s">
        <v>1015</v>
      </c>
      <c r="C382" t="s">
        <v>71</v>
      </c>
      <c r="D382" t="s">
        <v>27</v>
      </c>
      <c r="E382" t="s">
        <v>44</v>
      </c>
      <c r="F382" t="s">
        <v>17</v>
      </c>
      <c r="G382" t="s">
        <v>18</v>
      </c>
      <c r="H382">
        <v>59</v>
      </c>
      <c r="I382" t="str">
        <f>IF(TBL[[#This Row],[Age]]&gt;=60, "Old", IF(TBL[[#This Row],[Age]]&gt;=30, "Adult", "Young"))</f>
        <v>Adult</v>
      </c>
      <c r="J382" s="1">
        <v>43028</v>
      </c>
      <c r="K382">
        <f t="shared" si="5"/>
        <v>2017</v>
      </c>
      <c r="L382">
        <f>MONTH(TBL[[#This Row],[Hire Date]])</f>
        <v>10</v>
      </c>
      <c r="M382" s="7">
        <v>86831</v>
      </c>
      <c r="N382" s="8">
        <v>0</v>
      </c>
      <c r="O382" t="s">
        <v>19</v>
      </c>
      <c r="P382" t="s">
        <v>39</v>
      </c>
      <c r="Q382" s="1" t="s">
        <v>21</v>
      </c>
    </row>
    <row r="383" spans="1:17" x14ac:dyDescent="0.35">
      <c r="A383" t="s">
        <v>1016</v>
      </c>
      <c r="B383" t="s">
        <v>1017</v>
      </c>
      <c r="C383" t="s">
        <v>55</v>
      </c>
      <c r="D383" t="s">
        <v>27</v>
      </c>
      <c r="E383" t="s">
        <v>44</v>
      </c>
      <c r="F383" t="s">
        <v>17</v>
      </c>
      <c r="G383" t="s">
        <v>24</v>
      </c>
      <c r="H383">
        <v>49</v>
      </c>
      <c r="I383" t="str">
        <f>IF(TBL[[#This Row],[Age]]&gt;=60, "Old", IF(TBL[[#This Row],[Age]]&gt;=30, "Adult", "Young"))</f>
        <v>Adult</v>
      </c>
      <c r="J383" s="1">
        <v>40431</v>
      </c>
      <c r="K383">
        <f t="shared" si="5"/>
        <v>2010</v>
      </c>
      <c r="L383">
        <f>MONTH(TBL[[#This Row],[Hire Date]])</f>
        <v>9</v>
      </c>
      <c r="M383" s="7">
        <v>72826</v>
      </c>
      <c r="N383" s="8">
        <v>0</v>
      </c>
      <c r="O383" t="s">
        <v>33</v>
      </c>
      <c r="P383" t="s">
        <v>60</v>
      </c>
      <c r="Q383" s="1" t="s">
        <v>21</v>
      </c>
    </row>
    <row r="384" spans="1:17" x14ac:dyDescent="0.35">
      <c r="A384" t="s">
        <v>1018</v>
      </c>
      <c r="B384" t="s">
        <v>1019</v>
      </c>
      <c r="C384" t="s">
        <v>40</v>
      </c>
      <c r="D384" t="s">
        <v>43</v>
      </c>
      <c r="E384" t="s">
        <v>36</v>
      </c>
      <c r="F384" t="s">
        <v>17</v>
      </c>
      <c r="G384" t="s">
        <v>24</v>
      </c>
      <c r="H384">
        <v>64</v>
      </c>
      <c r="I384" t="str">
        <f>IF(TBL[[#This Row],[Age]]&gt;=60, "Old", IF(TBL[[#This Row],[Age]]&gt;=30, "Adult", "Young"))</f>
        <v>Old</v>
      </c>
      <c r="J384" s="1">
        <v>40588</v>
      </c>
      <c r="K384">
        <f t="shared" si="5"/>
        <v>2011</v>
      </c>
      <c r="L384">
        <f>MONTH(TBL[[#This Row],[Hire Date]])</f>
        <v>2</v>
      </c>
      <c r="M384" s="7">
        <v>171217</v>
      </c>
      <c r="N384" s="8">
        <v>0.19</v>
      </c>
      <c r="O384" t="s">
        <v>19</v>
      </c>
      <c r="P384" t="s">
        <v>63</v>
      </c>
      <c r="Q384" s="1" t="s">
        <v>21</v>
      </c>
    </row>
    <row r="385" spans="1:17" x14ac:dyDescent="0.35">
      <c r="A385" t="s">
        <v>1020</v>
      </c>
      <c r="B385" t="s">
        <v>1021</v>
      </c>
      <c r="C385" t="s">
        <v>62</v>
      </c>
      <c r="D385" t="s">
        <v>27</v>
      </c>
      <c r="E385" t="s">
        <v>16</v>
      </c>
      <c r="F385" t="s">
        <v>17</v>
      </c>
      <c r="G385" t="s">
        <v>18</v>
      </c>
      <c r="H385">
        <v>57</v>
      </c>
      <c r="I385" t="str">
        <f>IF(TBL[[#This Row],[Age]]&gt;=60, "Old", IF(TBL[[#This Row],[Age]]&gt;=30, "Adult", "Young"))</f>
        <v>Adult</v>
      </c>
      <c r="J385" s="1">
        <v>43948</v>
      </c>
      <c r="K385">
        <f t="shared" si="5"/>
        <v>2020</v>
      </c>
      <c r="L385">
        <f>MONTH(TBL[[#This Row],[Hire Date]])</f>
        <v>4</v>
      </c>
      <c r="M385" s="7">
        <v>103058</v>
      </c>
      <c r="N385" s="8">
        <v>7.0000000000000007E-2</v>
      </c>
      <c r="O385" t="s">
        <v>19</v>
      </c>
      <c r="P385" t="s">
        <v>29</v>
      </c>
      <c r="Q385" s="1" t="s">
        <v>21</v>
      </c>
    </row>
    <row r="386" spans="1:17" x14ac:dyDescent="0.35">
      <c r="A386" t="s">
        <v>1022</v>
      </c>
      <c r="B386" t="s">
        <v>1023</v>
      </c>
      <c r="C386" t="s">
        <v>62</v>
      </c>
      <c r="D386" t="s">
        <v>50</v>
      </c>
      <c r="E386" t="s">
        <v>44</v>
      </c>
      <c r="F386" t="s">
        <v>28</v>
      </c>
      <c r="G386" t="s">
        <v>24</v>
      </c>
      <c r="H386">
        <v>52</v>
      </c>
      <c r="I386" t="str">
        <f>IF(TBL[[#This Row],[Age]]&gt;=60, "Old", IF(TBL[[#This Row],[Age]]&gt;=30, "Adult", "Young"))</f>
        <v>Adult</v>
      </c>
      <c r="J386" s="1">
        <v>41858</v>
      </c>
      <c r="K386">
        <f t="shared" ref="K386:K449" si="6">YEAR(--J386)</f>
        <v>2014</v>
      </c>
      <c r="L386">
        <f>MONTH(TBL[[#This Row],[Hire Date]])</f>
        <v>8</v>
      </c>
      <c r="M386" s="7">
        <v>117062</v>
      </c>
      <c r="N386" s="8">
        <v>7.0000000000000007E-2</v>
      </c>
      <c r="O386" t="s">
        <v>19</v>
      </c>
      <c r="P386" t="s">
        <v>39</v>
      </c>
      <c r="Q386" s="1" t="s">
        <v>21</v>
      </c>
    </row>
    <row r="387" spans="1:17" x14ac:dyDescent="0.35">
      <c r="A387" t="s">
        <v>1024</v>
      </c>
      <c r="B387" t="s">
        <v>1025</v>
      </c>
      <c r="C387" t="s">
        <v>61</v>
      </c>
      <c r="D387" t="s">
        <v>65</v>
      </c>
      <c r="E387" t="s">
        <v>44</v>
      </c>
      <c r="F387" t="s">
        <v>28</v>
      </c>
      <c r="G387" t="s">
        <v>51</v>
      </c>
      <c r="H387">
        <v>40</v>
      </c>
      <c r="I387" t="str">
        <f>IF(TBL[[#This Row],[Age]]&gt;=60, "Old", IF(TBL[[#This Row],[Age]]&gt;=30, "Adult", "Young"))</f>
        <v>Adult</v>
      </c>
      <c r="J387" s="1">
        <v>43488</v>
      </c>
      <c r="K387">
        <f t="shared" si="6"/>
        <v>2019</v>
      </c>
      <c r="L387">
        <f>MONTH(TBL[[#This Row],[Hire Date]])</f>
        <v>1</v>
      </c>
      <c r="M387" s="7">
        <v>159031</v>
      </c>
      <c r="N387" s="8">
        <v>0.1</v>
      </c>
      <c r="O387" t="s">
        <v>19</v>
      </c>
      <c r="P387" t="s">
        <v>45</v>
      </c>
      <c r="Q387" s="1" t="s">
        <v>21</v>
      </c>
    </row>
    <row r="388" spans="1:17" x14ac:dyDescent="0.35">
      <c r="A388" t="s">
        <v>324</v>
      </c>
      <c r="B388" t="s">
        <v>1026</v>
      </c>
      <c r="C388" t="s">
        <v>61</v>
      </c>
      <c r="D388" t="s">
        <v>27</v>
      </c>
      <c r="E388" t="s">
        <v>16</v>
      </c>
      <c r="F388" t="s">
        <v>17</v>
      </c>
      <c r="G388" t="s">
        <v>51</v>
      </c>
      <c r="H388">
        <v>49</v>
      </c>
      <c r="I388" t="str">
        <f>IF(TBL[[#This Row],[Age]]&gt;=60, "Old", IF(TBL[[#This Row],[Age]]&gt;=30, "Adult", "Young"))</f>
        <v>Adult</v>
      </c>
      <c r="J388" s="1">
        <v>38000</v>
      </c>
      <c r="K388">
        <f t="shared" si="6"/>
        <v>2004</v>
      </c>
      <c r="L388">
        <f>MONTH(TBL[[#This Row],[Hire Date]])</f>
        <v>1</v>
      </c>
      <c r="M388" s="7">
        <v>125086</v>
      </c>
      <c r="N388" s="8">
        <v>0.1</v>
      </c>
      <c r="O388" t="s">
        <v>52</v>
      </c>
      <c r="P388" t="s">
        <v>53</v>
      </c>
      <c r="Q388" s="1" t="s">
        <v>21</v>
      </c>
    </row>
    <row r="389" spans="1:17" x14ac:dyDescent="0.35">
      <c r="A389" t="s">
        <v>310</v>
      </c>
      <c r="B389" t="s">
        <v>1027</v>
      </c>
      <c r="C389" t="s">
        <v>98</v>
      </c>
      <c r="D389" t="s">
        <v>27</v>
      </c>
      <c r="E389" t="s">
        <v>44</v>
      </c>
      <c r="F389" t="s">
        <v>28</v>
      </c>
      <c r="G389" t="s">
        <v>18</v>
      </c>
      <c r="H389">
        <v>43</v>
      </c>
      <c r="I389" t="str">
        <f>IF(TBL[[#This Row],[Age]]&gt;=60, "Old", IF(TBL[[#This Row],[Age]]&gt;=30, "Adult", "Young"))</f>
        <v>Adult</v>
      </c>
      <c r="J389" s="1">
        <v>42467</v>
      </c>
      <c r="K389">
        <f t="shared" si="6"/>
        <v>2016</v>
      </c>
      <c r="L389">
        <f>MONTH(TBL[[#This Row],[Hire Date]])</f>
        <v>4</v>
      </c>
      <c r="M389" s="7">
        <v>67976</v>
      </c>
      <c r="N389" s="8">
        <v>0</v>
      </c>
      <c r="O389" t="s">
        <v>19</v>
      </c>
      <c r="P389" t="s">
        <v>63</v>
      </c>
      <c r="Q389" s="1" t="s">
        <v>21</v>
      </c>
    </row>
    <row r="390" spans="1:17" x14ac:dyDescent="0.35">
      <c r="A390" t="s">
        <v>1028</v>
      </c>
      <c r="B390" t="s">
        <v>1029</v>
      </c>
      <c r="C390" t="s">
        <v>64</v>
      </c>
      <c r="D390" t="s">
        <v>15</v>
      </c>
      <c r="E390" t="s">
        <v>44</v>
      </c>
      <c r="F390" t="s">
        <v>28</v>
      </c>
      <c r="G390" t="s">
        <v>18</v>
      </c>
      <c r="H390">
        <v>31</v>
      </c>
      <c r="I390" t="str">
        <f>IF(TBL[[#This Row],[Age]]&gt;=60, "Old", IF(TBL[[#This Row],[Age]]&gt;=30, "Adult", "Young"))</f>
        <v>Adult</v>
      </c>
      <c r="J390" s="1">
        <v>44308</v>
      </c>
      <c r="K390">
        <f t="shared" si="6"/>
        <v>2021</v>
      </c>
      <c r="L390">
        <f>MONTH(TBL[[#This Row],[Hire Date]])</f>
        <v>4</v>
      </c>
      <c r="M390" s="7">
        <v>74215</v>
      </c>
      <c r="N390" s="8">
        <v>0</v>
      </c>
      <c r="O390" t="s">
        <v>19</v>
      </c>
      <c r="P390" t="s">
        <v>39</v>
      </c>
      <c r="Q390" s="1" t="s">
        <v>21</v>
      </c>
    </row>
    <row r="391" spans="1:17" x14ac:dyDescent="0.35">
      <c r="A391" t="s">
        <v>1030</v>
      </c>
      <c r="B391" t="s">
        <v>1031</v>
      </c>
      <c r="C391" t="s">
        <v>40</v>
      </c>
      <c r="D391" t="s">
        <v>65</v>
      </c>
      <c r="E391" t="s">
        <v>36</v>
      </c>
      <c r="F391" t="s">
        <v>28</v>
      </c>
      <c r="G391" t="s">
        <v>24</v>
      </c>
      <c r="H391">
        <v>55</v>
      </c>
      <c r="I391" t="str">
        <f>IF(TBL[[#This Row],[Age]]&gt;=60, "Old", IF(TBL[[#This Row],[Age]]&gt;=30, "Adult", "Young"))</f>
        <v>Adult</v>
      </c>
      <c r="J391" s="1">
        <v>40340</v>
      </c>
      <c r="K391">
        <f t="shared" si="6"/>
        <v>2010</v>
      </c>
      <c r="L391">
        <f>MONTH(TBL[[#This Row],[Hire Date]])</f>
        <v>6</v>
      </c>
      <c r="M391" s="7">
        <v>187389</v>
      </c>
      <c r="N391" s="8">
        <v>0.25</v>
      </c>
      <c r="O391" t="s">
        <v>33</v>
      </c>
      <c r="P391" t="s">
        <v>34</v>
      </c>
      <c r="Q391" s="1" t="s">
        <v>21</v>
      </c>
    </row>
    <row r="392" spans="1:17" x14ac:dyDescent="0.35">
      <c r="A392" t="s">
        <v>878</v>
      </c>
      <c r="B392" t="s">
        <v>1032</v>
      </c>
      <c r="C392" t="s">
        <v>61</v>
      </c>
      <c r="D392" t="s">
        <v>23</v>
      </c>
      <c r="E392" t="s">
        <v>44</v>
      </c>
      <c r="F392" t="s">
        <v>17</v>
      </c>
      <c r="G392" t="s">
        <v>18</v>
      </c>
      <c r="H392">
        <v>41</v>
      </c>
      <c r="I392" t="str">
        <f>IF(TBL[[#This Row],[Age]]&gt;=60, "Old", IF(TBL[[#This Row],[Age]]&gt;=30, "Adult", "Young"))</f>
        <v>Adult</v>
      </c>
      <c r="J392" s="1">
        <v>39747</v>
      </c>
      <c r="K392">
        <f t="shared" si="6"/>
        <v>2008</v>
      </c>
      <c r="L392">
        <f>MONTH(TBL[[#This Row],[Hire Date]])</f>
        <v>10</v>
      </c>
      <c r="M392" s="7">
        <v>131841</v>
      </c>
      <c r="N392" s="8">
        <v>0.13</v>
      </c>
      <c r="O392" t="s">
        <v>19</v>
      </c>
      <c r="P392" t="s">
        <v>29</v>
      </c>
      <c r="Q392" s="1" t="s">
        <v>21</v>
      </c>
    </row>
    <row r="393" spans="1:17" x14ac:dyDescent="0.35">
      <c r="A393" t="s">
        <v>105</v>
      </c>
      <c r="B393" t="s">
        <v>1033</v>
      </c>
      <c r="C393" t="s">
        <v>42</v>
      </c>
      <c r="D393" t="s">
        <v>65</v>
      </c>
      <c r="E393" t="s">
        <v>16</v>
      </c>
      <c r="F393" t="s">
        <v>28</v>
      </c>
      <c r="G393" t="s">
        <v>24</v>
      </c>
      <c r="H393">
        <v>34</v>
      </c>
      <c r="I393" t="str">
        <f>IF(TBL[[#This Row],[Age]]&gt;=60, "Old", IF(TBL[[#This Row],[Age]]&gt;=30, "Adult", "Young"))</f>
        <v>Adult</v>
      </c>
      <c r="J393" s="1">
        <v>40750</v>
      </c>
      <c r="K393">
        <f t="shared" si="6"/>
        <v>2011</v>
      </c>
      <c r="L393">
        <f>MONTH(TBL[[#This Row],[Hire Date]])</f>
        <v>7</v>
      </c>
      <c r="M393" s="7">
        <v>97231</v>
      </c>
      <c r="N393" s="8">
        <v>0</v>
      </c>
      <c r="O393" t="s">
        <v>33</v>
      </c>
      <c r="P393" t="s">
        <v>60</v>
      </c>
      <c r="Q393" s="1" t="s">
        <v>21</v>
      </c>
    </row>
    <row r="394" spans="1:17" x14ac:dyDescent="0.35">
      <c r="A394" t="s">
        <v>114</v>
      </c>
      <c r="B394" t="s">
        <v>1034</v>
      </c>
      <c r="C394" t="s">
        <v>61</v>
      </c>
      <c r="D394" t="s">
        <v>15</v>
      </c>
      <c r="E394" t="s">
        <v>32</v>
      </c>
      <c r="F394" t="s">
        <v>17</v>
      </c>
      <c r="G394" t="s">
        <v>24</v>
      </c>
      <c r="H394">
        <v>41</v>
      </c>
      <c r="I394" t="str">
        <f>IF(TBL[[#This Row],[Age]]&gt;=60, "Old", IF(TBL[[#This Row],[Age]]&gt;=30, "Adult", "Young"))</f>
        <v>Adult</v>
      </c>
      <c r="J394" s="1">
        <v>38060</v>
      </c>
      <c r="K394">
        <f t="shared" si="6"/>
        <v>2004</v>
      </c>
      <c r="L394">
        <f>MONTH(TBL[[#This Row],[Hire Date]])</f>
        <v>3</v>
      </c>
      <c r="M394" s="7">
        <v>155004</v>
      </c>
      <c r="N394" s="8">
        <v>0.12</v>
      </c>
      <c r="O394" t="s">
        <v>19</v>
      </c>
      <c r="P394" t="s">
        <v>25</v>
      </c>
      <c r="Q394" s="1" t="s">
        <v>21</v>
      </c>
    </row>
    <row r="395" spans="1:17" x14ac:dyDescent="0.35">
      <c r="A395" t="s">
        <v>1035</v>
      </c>
      <c r="B395" t="s">
        <v>1036</v>
      </c>
      <c r="C395" t="s">
        <v>76</v>
      </c>
      <c r="D395" t="s">
        <v>27</v>
      </c>
      <c r="E395" t="s">
        <v>36</v>
      </c>
      <c r="F395" t="s">
        <v>28</v>
      </c>
      <c r="G395" t="s">
        <v>24</v>
      </c>
      <c r="H395">
        <v>40</v>
      </c>
      <c r="I395" t="str">
        <f>IF(TBL[[#This Row],[Age]]&gt;=60, "Old", IF(TBL[[#This Row],[Age]]&gt;=30, "Adult", "Young"))</f>
        <v>Adult</v>
      </c>
      <c r="J395" s="1">
        <v>39293</v>
      </c>
      <c r="K395">
        <f t="shared" si="6"/>
        <v>2007</v>
      </c>
      <c r="L395">
        <f>MONTH(TBL[[#This Row],[Hire Date]])</f>
        <v>7</v>
      </c>
      <c r="M395" s="7">
        <v>41859</v>
      </c>
      <c r="N395" s="8">
        <v>0</v>
      </c>
      <c r="O395" t="s">
        <v>19</v>
      </c>
      <c r="P395" t="s">
        <v>63</v>
      </c>
      <c r="Q395" s="1" t="s">
        <v>21</v>
      </c>
    </row>
    <row r="396" spans="1:17" x14ac:dyDescent="0.35">
      <c r="A396" t="s">
        <v>1037</v>
      </c>
      <c r="B396" t="s">
        <v>1038</v>
      </c>
      <c r="C396" t="s">
        <v>73</v>
      </c>
      <c r="D396" t="s">
        <v>27</v>
      </c>
      <c r="E396" t="s">
        <v>36</v>
      </c>
      <c r="F396" t="s">
        <v>28</v>
      </c>
      <c r="G396" t="s">
        <v>47</v>
      </c>
      <c r="H396">
        <v>42</v>
      </c>
      <c r="I396" t="str">
        <f>IF(TBL[[#This Row],[Age]]&gt;=60, "Old", IF(TBL[[#This Row],[Age]]&gt;=30, "Adult", "Young"))</f>
        <v>Adult</v>
      </c>
      <c r="J396" s="1">
        <v>38984</v>
      </c>
      <c r="K396">
        <f t="shared" si="6"/>
        <v>2006</v>
      </c>
      <c r="L396">
        <f>MONTH(TBL[[#This Row],[Hire Date]])</f>
        <v>9</v>
      </c>
      <c r="M396" s="7">
        <v>52733</v>
      </c>
      <c r="N396" s="8">
        <v>0</v>
      </c>
      <c r="O396" t="s">
        <v>19</v>
      </c>
      <c r="P396" t="s">
        <v>20</v>
      </c>
      <c r="Q396" s="1" t="s">
        <v>21</v>
      </c>
    </row>
    <row r="397" spans="1:17" x14ac:dyDescent="0.35">
      <c r="A397" t="s">
        <v>1039</v>
      </c>
      <c r="B397" t="s">
        <v>1040</v>
      </c>
      <c r="C397" t="s">
        <v>14</v>
      </c>
      <c r="D397" t="s">
        <v>23</v>
      </c>
      <c r="E397" t="s">
        <v>32</v>
      </c>
      <c r="F397" t="s">
        <v>28</v>
      </c>
      <c r="G397" t="s">
        <v>24</v>
      </c>
      <c r="H397">
        <v>31</v>
      </c>
      <c r="I397" t="str">
        <f>IF(TBL[[#This Row],[Age]]&gt;=60, "Old", IF(TBL[[#This Row],[Age]]&gt;=30, "Adult", "Young"))</f>
        <v>Adult</v>
      </c>
      <c r="J397" s="1">
        <v>42250</v>
      </c>
      <c r="K397">
        <f t="shared" si="6"/>
        <v>2015</v>
      </c>
      <c r="L397">
        <f>MONTH(TBL[[#This Row],[Hire Date]])</f>
        <v>9</v>
      </c>
      <c r="M397" s="7">
        <v>250953</v>
      </c>
      <c r="N397" s="8">
        <v>0.34</v>
      </c>
      <c r="O397" t="s">
        <v>19</v>
      </c>
      <c r="P397" t="s">
        <v>29</v>
      </c>
      <c r="Q397" s="1" t="s">
        <v>21</v>
      </c>
    </row>
    <row r="398" spans="1:17" x14ac:dyDescent="0.35">
      <c r="A398" t="s">
        <v>1041</v>
      </c>
      <c r="B398" t="s">
        <v>1042</v>
      </c>
      <c r="C398" t="s">
        <v>40</v>
      </c>
      <c r="D398" t="s">
        <v>43</v>
      </c>
      <c r="E398" t="s">
        <v>16</v>
      </c>
      <c r="F398" t="s">
        <v>28</v>
      </c>
      <c r="G398" t="s">
        <v>24</v>
      </c>
      <c r="H398">
        <v>49</v>
      </c>
      <c r="I398" t="str">
        <f>IF(TBL[[#This Row],[Age]]&gt;=60, "Old", IF(TBL[[#This Row],[Age]]&gt;=30, "Adult", "Young"))</f>
        <v>Adult</v>
      </c>
      <c r="J398" s="1">
        <v>36210</v>
      </c>
      <c r="K398">
        <f t="shared" si="6"/>
        <v>1999</v>
      </c>
      <c r="L398">
        <f>MONTH(TBL[[#This Row],[Hire Date]])</f>
        <v>2</v>
      </c>
      <c r="M398" s="7">
        <v>191807</v>
      </c>
      <c r="N398" s="8">
        <v>0.21</v>
      </c>
      <c r="O398" t="s">
        <v>33</v>
      </c>
      <c r="P398" t="s">
        <v>80</v>
      </c>
      <c r="Q398" s="1" t="s">
        <v>21</v>
      </c>
    </row>
    <row r="399" spans="1:17" x14ac:dyDescent="0.35">
      <c r="A399" t="s">
        <v>1043</v>
      </c>
      <c r="B399" t="s">
        <v>1044</v>
      </c>
      <c r="C399" t="s">
        <v>55</v>
      </c>
      <c r="D399" t="s">
        <v>27</v>
      </c>
      <c r="E399" t="s">
        <v>44</v>
      </c>
      <c r="F399" t="s">
        <v>28</v>
      </c>
      <c r="G399" t="s">
        <v>24</v>
      </c>
      <c r="H399">
        <v>42</v>
      </c>
      <c r="I399" t="str">
        <f>IF(TBL[[#This Row],[Age]]&gt;=60, "Old", IF(TBL[[#This Row],[Age]]&gt;=30, "Adult", "Young"))</f>
        <v>Adult</v>
      </c>
      <c r="J399" s="1">
        <v>41813</v>
      </c>
      <c r="K399">
        <f t="shared" si="6"/>
        <v>2014</v>
      </c>
      <c r="L399">
        <f>MONTH(TBL[[#This Row],[Hire Date]])</f>
        <v>6</v>
      </c>
      <c r="M399" s="7">
        <v>64677</v>
      </c>
      <c r="N399" s="8">
        <v>0</v>
      </c>
      <c r="O399" t="s">
        <v>33</v>
      </c>
      <c r="P399" t="s">
        <v>80</v>
      </c>
      <c r="Q399" s="1" t="s">
        <v>21</v>
      </c>
    </row>
    <row r="400" spans="1:17" x14ac:dyDescent="0.35">
      <c r="A400" t="s">
        <v>681</v>
      </c>
      <c r="B400" t="s">
        <v>1045</v>
      </c>
      <c r="C400" t="s">
        <v>61</v>
      </c>
      <c r="D400" t="s">
        <v>27</v>
      </c>
      <c r="E400" t="s">
        <v>32</v>
      </c>
      <c r="F400" t="s">
        <v>28</v>
      </c>
      <c r="G400" t="s">
        <v>18</v>
      </c>
      <c r="H400">
        <v>46</v>
      </c>
      <c r="I400" t="str">
        <f>IF(TBL[[#This Row],[Age]]&gt;=60, "Old", IF(TBL[[#This Row],[Age]]&gt;=30, "Adult", "Young"))</f>
        <v>Adult</v>
      </c>
      <c r="J400" s="1">
        <v>38244</v>
      </c>
      <c r="K400">
        <f t="shared" si="6"/>
        <v>2004</v>
      </c>
      <c r="L400">
        <f>MONTH(TBL[[#This Row],[Hire Date]])</f>
        <v>9</v>
      </c>
      <c r="M400" s="7">
        <v>130274</v>
      </c>
      <c r="N400" s="8">
        <v>0.11</v>
      </c>
      <c r="O400" t="s">
        <v>19</v>
      </c>
      <c r="P400" t="s">
        <v>20</v>
      </c>
      <c r="Q400" s="1" t="s">
        <v>21</v>
      </c>
    </row>
    <row r="401" spans="1:17" x14ac:dyDescent="0.35">
      <c r="A401" t="s">
        <v>1046</v>
      </c>
      <c r="B401" t="s">
        <v>1047</v>
      </c>
      <c r="C401" t="s">
        <v>71</v>
      </c>
      <c r="D401" t="s">
        <v>27</v>
      </c>
      <c r="E401" t="s">
        <v>16</v>
      </c>
      <c r="F401" t="s">
        <v>28</v>
      </c>
      <c r="G401" t="s">
        <v>24</v>
      </c>
      <c r="H401">
        <v>37</v>
      </c>
      <c r="I401" t="str">
        <f>IF(TBL[[#This Row],[Age]]&gt;=60, "Old", IF(TBL[[#This Row],[Age]]&gt;=30, "Adult", "Young"))</f>
        <v>Adult</v>
      </c>
      <c r="J401" s="1">
        <v>42922</v>
      </c>
      <c r="K401">
        <f t="shared" si="6"/>
        <v>2017</v>
      </c>
      <c r="L401">
        <f>MONTH(TBL[[#This Row],[Hire Date]])</f>
        <v>7</v>
      </c>
      <c r="M401" s="7">
        <v>96331</v>
      </c>
      <c r="N401" s="8">
        <v>0</v>
      </c>
      <c r="O401" t="s">
        <v>33</v>
      </c>
      <c r="P401" t="s">
        <v>74</v>
      </c>
      <c r="Q401" s="1" t="s">
        <v>21</v>
      </c>
    </row>
    <row r="402" spans="1:17" x14ac:dyDescent="0.35">
      <c r="A402" t="s">
        <v>1048</v>
      </c>
      <c r="B402" t="s">
        <v>1049</v>
      </c>
      <c r="C402" t="s">
        <v>61</v>
      </c>
      <c r="D402" t="s">
        <v>15</v>
      </c>
      <c r="E402" t="s">
        <v>16</v>
      </c>
      <c r="F402" t="s">
        <v>17</v>
      </c>
      <c r="G402" t="s">
        <v>18</v>
      </c>
      <c r="H402">
        <v>51</v>
      </c>
      <c r="I402" t="str">
        <f>IF(TBL[[#This Row],[Age]]&gt;=60, "Old", IF(TBL[[#This Row],[Age]]&gt;=30, "Adult", "Young"))</f>
        <v>Adult</v>
      </c>
      <c r="J402" s="1">
        <v>38835</v>
      </c>
      <c r="K402">
        <f t="shared" si="6"/>
        <v>2006</v>
      </c>
      <c r="L402">
        <f>MONTH(TBL[[#This Row],[Hire Date]])</f>
        <v>4</v>
      </c>
      <c r="M402" s="7">
        <v>150758</v>
      </c>
      <c r="N402" s="8">
        <v>0.13</v>
      </c>
      <c r="O402" t="s">
        <v>19</v>
      </c>
      <c r="P402" t="s">
        <v>20</v>
      </c>
      <c r="Q402" s="1">
        <v>39310</v>
      </c>
    </row>
    <row r="403" spans="1:17" x14ac:dyDescent="0.35">
      <c r="A403" t="s">
        <v>347</v>
      </c>
      <c r="B403" t="s">
        <v>1050</v>
      </c>
      <c r="C403" t="s">
        <v>40</v>
      </c>
      <c r="D403" t="s">
        <v>31</v>
      </c>
      <c r="E403" t="s">
        <v>32</v>
      </c>
      <c r="F403" t="s">
        <v>28</v>
      </c>
      <c r="G403" t="s">
        <v>51</v>
      </c>
      <c r="H403">
        <v>46</v>
      </c>
      <c r="I403" t="str">
        <f>IF(TBL[[#This Row],[Age]]&gt;=60, "Old", IF(TBL[[#This Row],[Age]]&gt;=30, "Adult", "Young"))</f>
        <v>Adult</v>
      </c>
      <c r="J403" s="1">
        <v>41839</v>
      </c>
      <c r="K403">
        <f t="shared" si="6"/>
        <v>2014</v>
      </c>
      <c r="L403">
        <f>MONTH(TBL[[#This Row],[Hire Date]])</f>
        <v>7</v>
      </c>
      <c r="M403" s="7">
        <v>173629</v>
      </c>
      <c r="N403" s="8">
        <v>0.21</v>
      </c>
      <c r="O403" t="s">
        <v>52</v>
      </c>
      <c r="P403" t="s">
        <v>53</v>
      </c>
      <c r="Q403" s="1" t="s">
        <v>21</v>
      </c>
    </row>
    <row r="404" spans="1:17" x14ac:dyDescent="0.35">
      <c r="A404" t="s">
        <v>1051</v>
      </c>
      <c r="B404" t="s">
        <v>1052</v>
      </c>
      <c r="C404" t="s">
        <v>88</v>
      </c>
      <c r="D404" t="s">
        <v>27</v>
      </c>
      <c r="E404" t="s">
        <v>32</v>
      </c>
      <c r="F404" t="s">
        <v>28</v>
      </c>
      <c r="G404" t="s">
        <v>47</v>
      </c>
      <c r="H404">
        <v>55</v>
      </c>
      <c r="I404" t="str">
        <f>IF(TBL[[#This Row],[Age]]&gt;=60, "Old", IF(TBL[[#This Row],[Age]]&gt;=30, "Adult", "Young"))</f>
        <v>Adult</v>
      </c>
      <c r="J404" s="1">
        <v>35919</v>
      </c>
      <c r="K404">
        <f t="shared" si="6"/>
        <v>1998</v>
      </c>
      <c r="L404">
        <f>MONTH(TBL[[#This Row],[Hire Date]])</f>
        <v>5</v>
      </c>
      <c r="M404" s="7">
        <v>62174</v>
      </c>
      <c r="N404" s="8">
        <v>0</v>
      </c>
      <c r="O404" t="s">
        <v>19</v>
      </c>
      <c r="P404" t="s">
        <v>20</v>
      </c>
      <c r="Q404" s="1" t="s">
        <v>21</v>
      </c>
    </row>
    <row r="405" spans="1:17" x14ac:dyDescent="0.35">
      <c r="A405" t="s">
        <v>1053</v>
      </c>
      <c r="B405" t="s">
        <v>1054</v>
      </c>
      <c r="C405" t="s">
        <v>64</v>
      </c>
      <c r="D405" t="s">
        <v>65</v>
      </c>
      <c r="E405" t="s">
        <v>36</v>
      </c>
      <c r="F405" t="s">
        <v>28</v>
      </c>
      <c r="G405" t="s">
        <v>18</v>
      </c>
      <c r="H405">
        <v>43</v>
      </c>
      <c r="I405" t="str">
        <f>IF(TBL[[#This Row],[Age]]&gt;=60, "Old", IF(TBL[[#This Row],[Age]]&gt;=30, "Adult", "Young"))</f>
        <v>Adult</v>
      </c>
      <c r="J405" s="1">
        <v>43028</v>
      </c>
      <c r="K405">
        <f t="shared" si="6"/>
        <v>2017</v>
      </c>
      <c r="L405">
        <f>MONTH(TBL[[#This Row],[Hire Date]])</f>
        <v>10</v>
      </c>
      <c r="M405" s="7">
        <v>56555</v>
      </c>
      <c r="N405" s="8">
        <v>0</v>
      </c>
      <c r="O405" t="s">
        <v>19</v>
      </c>
      <c r="P405" t="s">
        <v>39</v>
      </c>
      <c r="Q405" s="1" t="s">
        <v>21</v>
      </c>
    </row>
    <row r="406" spans="1:17" x14ac:dyDescent="0.35">
      <c r="A406" t="s">
        <v>1055</v>
      </c>
      <c r="B406" t="s">
        <v>1056</v>
      </c>
      <c r="C406" t="s">
        <v>64</v>
      </c>
      <c r="D406" t="s">
        <v>43</v>
      </c>
      <c r="E406" t="s">
        <v>36</v>
      </c>
      <c r="F406" t="s">
        <v>28</v>
      </c>
      <c r="G406" t="s">
        <v>18</v>
      </c>
      <c r="H406">
        <v>48</v>
      </c>
      <c r="I406" t="str">
        <f>IF(TBL[[#This Row],[Age]]&gt;=60, "Old", IF(TBL[[#This Row],[Age]]&gt;=30, "Adult", "Young"))</f>
        <v>Adult</v>
      </c>
      <c r="J406" s="1">
        <v>38623</v>
      </c>
      <c r="K406">
        <f t="shared" si="6"/>
        <v>2005</v>
      </c>
      <c r="L406">
        <f>MONTH(TBL[[#This Row],[Hire Date]])</f>
        <v>9</v>
      </c>
      <c r="M406" s="7">
        <v>74655</v>
      </c>
      <c r="N406" s="8">
        <v>0</v>
      </c>
      <c r="O406" t="s">
        <v>19</v>
      </c>
      <c r="P406" t="s">
        <v>25</v>
      </c>
      <c r="Q406" s="1" t="s">
        <v>21</v>
      </c>
    </row>
    <row r="407" spans="1:17" x14ac:dyDescent="0.35">
      <c r="A407" t="s">
        <v>180</v>
      </c>
      <c r="B407" t="s">
        <v>147</v>
      </c>
      <c r="C407" t="s">
        <v>98</v>
      </c>
      <c r="D407" t="s">
        <v>27</v>
      </c>
      <c r="E407" t="s">
        <v>32</v>
      </c>
      <c r="F407" t="s">
        <v>28</v>
      </c>
      <c r="G407" t="s">
        <v>18</v>
      </c>
      <c r="H407">
        <v>48</v>
      </c>
      <c r="I407" t="str">
        <f>IF(TBL[[#This Row],[Age]]&gt;=60, "Old", IF(TBL[[#This Row],[Age]]&gt;=30, "Adult", "Young"))</f>
        <v>Adult</v>
      </c>
      <c r="J407" s="1">
        <v>37844</v>
      </c>
      <c r="K407">
        <f t="shared" si="6"/>
        <v>2003</v>
      </c>
      <c r="L407">
        <f>MONTH(TBL[[#This Row],[Hire Date]])</f>
        <v>8</v>
      </c>
      <c r="M407" s="7">
        <v>93017</v>
      </c>
      <c r="N407" s="8">
        <v>0</v>
      </c>
      <c r="O407" t="s">
        <v>19</v>
      </c>
      <c r="P407" t="s">
        <v>63</v>
      </c>
      <c r="Q407" s="1" t="s">
        <v>21</v>
      </c>
    </row>
    <row r="408" spans="1:17" x14ac:dyDescent="0.35">
      <c r="A408" t="s">
        <v>156</v>
      </c>
      <c r="B408" t="s">
        <v>1057</v>
      </c>
      <c r="C408" t="s">
        <v>42</v>
      </c>
      <c r="D408" t="s">
        <v>43</v>
      </c>
      <c r="E408" t="s">
        <v>36</v>
      </c>
      <c r="F408" t="s">
        <v>28</v>
      </c>
      <c r="G408" t="s">
        <v>24</v>
      </c>
      <c r="H408">
        <v>51</v>
      </c>
      <c r="I408" t="str">
        <f>IF(TBL[[#This Row],[Age]]&gt;=60, "Old", IF(TBL[[#This Row],[Age]]&gt;=30, "Adult", "Young"))</f>
        <v>Adult</v>
      </c>
      <c r="J408" s="1">
        <v>41013</v>
      </c>
      <c r="K408">
        <f t="shared" si="6"/>
        <v>2012</v>
      </c>
      <c r="L408">
        <f>MONTH(TBL[[#This Row],[Hire Date]])</f>
        <v>4</v>
      </c>
      <c r="M408" s="7">
        <v>82300</v>
      </c>
      <c r="N408" s="8">
        <v>0</v>
      </c>
      <c r="O408" t="s">
        <v>33</v>
      </c>
      <c r="P408" t="s">
        <v>34</v>
      </c>
      <c r="Q408" s="1" t="s">
        <v>21</v>
      </c>
    </row>
    <row r="409" spans="1:17" x14ac:dyDescent="0.35">
      <c r="A409" t="s">
        <v>1058</v>
      </c>
      <c r="B409" t="s">
        <v>1059</v>
      </c>
      <c r="C409" t="s">
        <v>59</v>
      </c>
      <c r="D409" t="s">
        <v>31</v>
      </c>
      <c r="E409" t="s">
        <v>16</v>
      </c>
      <c r="F409" t="s">
        <v>17</v>
      </c>
      <c r="G409" t="s">
        <v>18</v>
      </c>
      <c r="H409">
        <v>46</v>
      </c>
      <c r="I409" t="str">
        <f>IF(TBL[[#This Row],[Age]]&gt;=60, "Old", IF(TBL[[#This Row],[Age]]&gt;=30, "Adult", "Young"))</f>
        <v>Adult</v>
      </c>
      <c r="J409" s="1">
        <v>39471</v>
      </c>
      <c r="K409">
        <f t="shared" si="6"/>
        <v>2008</v>
      </c>
      <c r="L409">
        <f>MONTH(TBL[[#This Row],[Hire Date]])</f>
        <v>1</v>
      </c>
      <c r="M409" s="7">
        <v>91621</v>
      </c>
      <c r="N409" s="8">
        <v>0</v>
      </c>
      <c r="O409" t="s">
        <v>19</v>
      </c>
      <c r="P409" t="s">
        <v>20</v>
      </c>
      <c r="Q409" s="1" t="s">
        <v>21</v>
      </c>
    </row>
    <row r="410" spans="1:17" x14ac:dyDescent="0.35">
      <c r="A410" t="s">
        <v>1060</v>
      </c>
      <c r="B410" t="s">
        <v>1061</v>
      </c>
      <c r="C410" t="s">
        <v>42</v>
      </c>
      <c r="D410" t="s">
        <v>43</v>
      </c>
      <c r="E410" t="s">
        <v>16</v>
      </c>
      <c r="F410" t="s">
        <v>28</v>
      </c>
      <c r="G410" t="s">
        <v>51</v>
      </c>
      <c r="H410">
        <v>33</v>
      </c>
      <c r="I410" t="str">
        <f>IF(TBL[[#This Row],[Age]]&gt;=60, "Old", IF(TBL[[#This Row],[Age]]&gt;=30, "Adult", "Young"))</f>
        <v>Adult</v>
      </c>
      <c r="J410" s="1">
        <v>41973</v>
      </c>
      <c r="K410">
        <f t="shared" si="6"/>
        <v>2014</v>
      </c>
      <c r="L410">
        <f>MONTH(TBL[[#This Row],[Hire Date]])</f>
        <v>11</v>
      </c>
      <c r="M410" s="7">
        <v>91280</v>
      </c>
      <c r="N410" s="8">
        <v>0</v>
      </c>
      <c r="O410" t="s">
        <v>19</v>
      </c>
      <c r="P410" t="s">
        <v>45</v>
      </c>
      <c r="Q410" s="1" t="s">
        <v>21</v>
      </c>
    </row>
    <row r="411" spans="1:17" x14ac:dyDescent="0.35">
      <c r="A411" t="s">
        <v>95</v>
      </c>
      <c r="B411" t="s">
        <v>1062</v>
      </c>
      <c r="C411" t="s">
        <v>83</v>
      </c>
      <c r="D411" t="s">
        <v>23</v>
      </c>
      <c r="E411" t="s">
        <v>36</v>
      </c>
      <c r="F411" t="s">
        <v>17</v>
      </c>
      <c r="G411" t="s">
        <v>47</v>
      </c>
      <c r="H411">
        <v>42</v>
      </c>
      <c r="I411" t="str">
        <f>IF(TBL[[#This Row],[Age]]&gt;=60, "Old", IF(TBL[[#This Row],[Age]]&gt;=30, "Adult", "Young"))</f>
        <v>Adult</v>
      </c>
      <c r="J411" s="1">
        <v>44092</v>
      </c>
      <c r="K411">
        <f t="shared" si="6"/>
        <v>2020</v>
      </c>
      <c r="L411">
        <f>MONTH(TBL[[#This Row],[Hire Date]])</f>
        <v>9</v>
      </c>
      <c r="M411" s="7">
        <v>47071</v>
      </c>
      <c r="N411" s="8">
        <v>0</v>
      </c>
      <c r="O411" t="s">
        <v>19</v>
      </c>
      <c r="P411" t="s">
        <v>29</v>
      </c>
      <c r="Q411" s="1" t="s">
        <v>21</v>
      </c>
    </row>
    <row r="412" spans="1:17" x14ac:dyDescent="0.35">
      <c r="A412" t="s">
        <v>1063</v>
      </c>
      <c r="B412" t="s">
        <v>1064</v>
      </c>
      <c r="C412" t="s">
        <v>91</v>
      </c>
      <c r="D412" t="s">
        <v>27</v>
      </c>
      <c r="E412" t="s">
        <v>36</v>
      </c>
      <c r="F412" t="s">
        <v>17</v>
      </c>
      <c r="G412" t="s">
        <v>18</v>
      </c>
      <c r="H412">
        <v>55</v>
      </c>
      <c r="I412" t="str">
        <f>IF(TBL[[#This Row],[Age]]&gt;=60, "Old", IF(TBL[[#This Row],[Age]]&gt;=30, "Adult", "Young"))</f>
        <v>Adult</v>
      </c>
      <c r="J412" s="1">
        <v>40868</v>
      </c>
      <c r="K412">
        <f t="shared" si="6"/>
        <v>2011</v>
      </c>
      <c r="L412">
        <f>MONTH(TBL[[#This Row],[Hire Date]])</f>
        <v>11</v>
      </c>
      <c r="M412" s="7">
        <v>81218</v>
      </c>
      <c r="N412" s="8">
        <v>0</v>
      </c>
      <c r="O412" t="s">
        <v>19</v>
      </c>
      <c r="P412" t="s">
        <v>20</v>
      </c>
      <c r="Q412" s="1" t="s">
        <v>21</v>
      </c>
    </row>
    <row r="413" spans="1:17" x14ac:dyDescent="0.35">
      <c r="A413" t="s">
        <v>149</v>
      </c>
      <c r="B413" t="s">
        <v>1065</v>
      </c>
      <c r="C413" t="s">
        <v>14</v>
      </c>
      <c r="D413" t="s">
        <v>31</v>
      </c>
      <c r="E413" t="s">
        <v>36</v>
      </c>
      <c r="F413" t="s">
        <v>17</v>
      </c>
      <c r="G413" t="s">
        <v>24</v>
      </c>
      <c r="H413">
        <v>50</v>
      </c>
      <c r="I413" t="str">
        <f>IF(TBL[[#This Row],[Age]]&gt;=60, "Old", IF(TBL[[#This Row],[Age]]&gt;=30, "Adult", "Young"))</f>
        <v>Adult</v>
      </c>
      <c r="J413" s="1">
        <v>39734</v>
      </c>
      <c r="K413">
        <f t="shared" si="6"/>
        <v>2008</v>
      </c>
      <c r="L413">
        <f>MONTH(TBL[[#This Row],[Hire Date]])</f>
        <v>10</v>
      </c>
      <c r="M413" s="7">
        <v>181801</v>
      </c>
      <c r="N413" s="8">
        <v>0.4</v>
      </c>
      <c r="O413" t="s">
        <v>33</v>
      </c>
      <c r="P413" t="s">
        <v>80</v>
      </c>
      <c r="Q413" s="1">
        <v>43810</v>
      </c>
    </row>
    <row r="414" spans="1:17" x14ac:dyDescent="0.35">
      <c r="A414" t="s">
        <v>1066</v>
      </c>
      <c r="B414" t="s">
        <v>1067</v>
      </c>
      <c r="C414" t="s">
        <v>94</v>
      </c>
      <c r="D414" t="s">
        <v>50</v>
      </c>
      <c r="E414" t="s">
        <v>36</v>
      </c>
      <c r="F414" t="s">
        <v>17</v>
      </c>
      <c r="G414" t="s">
        <v>18</v>
      </c>
      <c r="H414">
        <v>26</v>
      </c>
      <c r="I414" t="str">
        <f>IF(TBL[[#This Row],[Age]]&gt;=60, "Old", IF(TBL[[#This Row],[Age]]&gt;=30, "Adult", "Young"))</f>
        <v>Young</v>
      </c>
      <c r="J414" s="1">
        <v>44521</v>
      </c>
      <c r="K414">
        <f t="shared" si="6"/>
        <v>2021</v>
      </c>
      <c r="L414">
        <f>MONTH(TBL[[#This Row],[Hire Date]])</f>
        <v>11</v>
      </c>
      <c r="M414" s="7">
        <v>63137</v>
      </c>
      <c r="N414" s="8">
        <v>0</v>
      </c>
      <c r="O414" t="s">
        <v>19</v>
      </c>
      <c r="P414" t="s">
        <v>20</v>
      </c>
      <c r="Q414" s="1" t="s">
        <v>21</v>
      </c>
    </row>
    <row r="415" spans="1:17" x14ac:dyDescent="0.35">
      <c r="A415" t="s">
        <v>1068</v>
      </c>
      <c r="B415" t="s">
        <v>1069</v>
      </c>
      <c r="C415" t="s">
        <v>14</v>
      </c>
      <c r="D415" t="s">
        <v>31</v>
      </c>
      <c r="E415" t="s">
        <v>36</v>
      </c>
      <c r="F415" t="s">
        <v>17</v>
      </c>
      <c r="G415" t="s">
        <v>24</v>
      </c>
      <c r="H415">
        <v>55</v>
      </c>
      <c r="I415" t="str">
        <f>IF(TBL[[#This Row],[Age]]&gt;=60, "Old", IF(TBL[[#This Row],[Age]]&gt;=30, "Adult", "Young"))</f>
        <v>Adult</v>
      </c>
      <c r="J415" s="1">
        <v>43345</v>
      </c>
      <c r="K415">
        <f t="shared" si="6"/>
        <v>2018</v>
      </c>
      <c r="L415">
        <f>MONTH(TBL[[#This Row],[Hire Date]])</f>
        <v>9</v>
      </c>
      <c r="M415" s="7">
        <v>221465</v>
      </c>
      <c r="N415" s="8">
        <v>0.34</v>
      </c>
      <c r="O415" t="s">
        <v>33</v>
      </c>
      <c r="P415" t="s">
        <v>34</v>
      </c>
      <c r="Q415" s="1" t="s">
        <v>21</v>
      </c>
    </row>
    <row r="416" spans="1:17" x14ac:dyDescent="0.35">
      <c r="A416" t="s">
        <v>141</v>
      </c>
      <c r="B416" t="s">
        <v>1070</v>
      </c>
      <c r="C416" t="s">
        <v>30</v>
      </c>
      <c r="D416" t="s">
        <v>31</v>
      </c>
      <c r="E416" t="s">
        <v>16</v>
      </c>
      <c r="F416" t="s">
        <v>17</v>
      </c>
      <c r="G416" t="s">
        <v>24</v>
      </c>
      <c r="H416">
        <v>50</v>
      </c>
      <c r="I416" t="str">
        <f>IF(TBL[[#This Row],[Age]]&gt;=60, "Old", IF(TBL[[#This Row],[Age]]&gt;=30, "Adult", "Young"))</f>
        <v>Adult</v>
      </c>
      <c r="J416" s="1">
        <v>41404</v>
      </c>
      <c r="K416">
        <f t="shared" si="6"/>
        <v>2013</v>
      </c>
      <c r="L416">
        <f>MONTH(TBL[[#This Row],[Hire Date]])</f>
        <v>5</v>
      </c>
      <c r="M416" s="7">
        <v>79388</v>
      </c>
      <c r="N416" s="8">
        <v>0</v>
      </c>
      <c r="O416" t="s">
        <v>19</v>
      </c>
      <c r="P416" t="s">
        <v>25</v>
      </c>
      <c r="Q416" s="1">
        <v>43681</v>
      </c>
    </row>
    <row r="417" spans="1:17" x14ac:dyDescent="0.35">
      <c r="A417" t="s">
        <v>1071</v>
      </c>
      <c r="B417" t="s">
        <v>1072</v>
      </c>
      <c r="C417" t="s">
        <v>88</v>
      </c>
      <c r="D417" t="s">
        <v>27</v>
      </c>
      <c r="E417" t="s">
        <v>36</v>
      </c>
      <c r="F417" t="s">
        <v>17</v>
      </c>
      <c r="G417" t="s">
        <v>18</v>
      </c>
      <c r="H417">
        <v>28</v>
      </c>
      <c r="I417" t="str">
        <f>IF(TBL[[#This Row],[Age]]&gt;=60, "Old", IF(TBL[[#This Row],[Age]]&gt;=30, "Adult", "Young"))</f>
        <v>Young</v>
      </c>
      <c r="J417" s="1">
        <v>43122</v>
      </c>
      <c r="K417">
        <f t="shared" si="6"/>
        <v>2018</v>
      </c>
      <c r="L417">
        <f>MONTH(TBL[[#This Row],[Hire Date]])</f>
        <v>1</v>
      </c>
      <c r="M417" s="7">
        <v>68176</v>
      </c>
      <c r="N417" s="8">
        <v>0</v>
      </c>
      <c r="O417" t="s">
        <v>19</v>
      </c>
      <c r="P417" t="s">
        <v>63</v>
      </c>
      <c r="Q417" s="1" t="s">
        <v>21</v>
      </c>
    </row>
    <row r="418" spans="1:17" x14ac:dyDescent="0.35">
      <c r="A418" t="s">
        <v>1066</v>
      </c>
      <c r="B418" t="s">
        <v>1073</v>
      </c>
      <c r="C418" t="s">
        <v>61</v>
      </c>
      <c r="D418" t="s">
        <v>15</v>
      </c>
      <c r="E418" t="s">
        <v>16</v>
      </c>
      <c r="F418" t="s">
        <v>17</v>
      </c>
      <c r="G418" t="s">
        <v>51</v>
      </c>
      <c r="H418">
        <v>39</v>
      </c>
      <c r="I418" t="str">
        <f>IF(TBL[[#This Row],[Age]]&gt;=60, "Old", IF(TBL[[#This Row],[Age]]&gt;=30, "Adult", "Young"))</f>
        <v>Adult</v>
      </c>
      <c r="J418" s="1">
        <v>43756</v>
      </c>
      <c r="K418">
        <f t="shared" si="6"/>
        <v>2019</v>
      </c>
      <c r="L418">
        <f>MONTH(TBL[[#This Row],[Hire Date]])</f>
        <v>10</v>
      </c>
      <c r="M418" s="7">
        <v>122829</v>
      </c>
      <c r="N418" s="8">
        <v>0.11</v>
      </c>
      <c r="O418" t="s">
        <v>19</v>
      </c>
      <c r="P418" t="s">
        <v>20</v>
      </c>
      <c r="Q418" s="1" t="s">
        <v>21</v>
      </c>
    </row>
    <row r="419" spans="1:17" x14ac:dyDescent="0.35">
      <c r="A419" t="s">
        <v>122</v>
      </c>
      <c r="B419" t="s">
        <v>1074</v>
      </c>
      <c r="C419" t="s">
        <v>61</v>
      </c>
      <c r="D419" t="s">
        <v>43</v>
      </c>
      <c r="E419" t="s">
        <v>44</v>
      </c>
      <c r="F419" t="s">
        <v>17</v>
      </c>
      <c r="G419" t="s">
        <v>24</v>
      </c>
      <c r="H419">
        <v>31</v>
      </c>
      <c r="I419" t="str">
        <f>IF(TBL[[#This Row],[Age]]&gt;=60, "Old", IF(TBL[[#This Row],[Age]]&gt;=30, "Adult", "Young"))</f>
        <v>Adult</v>
      </c>
      <c r="J419" s="1">
        <v>43695</v>
      </c>
      <c r="K419">
        <f t="shared" si="6"/>
        <v>2019</v>
      </c>
      <c r="L419">
        <f>MONTH(TBL[[#This Row],[Hire Date]])</f>
        <v>8</v>
      </c>
      <c r="M419" s="7">
        <v>126353</v>
      </c>
      <c r="N419" s="8">
        <v>0.12</v>
      </c>
      <c r="O419" t="s">
        <v>33</v>
      </c>
      <c r="P419" t="s">
        <v>74</v>
      </c>
      <c r="Q419" s="1" t="s">
        <v>21</v>
      </c>
    </row>
    <row r="420" spans="1:17" x14ac:dyDescent="0.35">
      <c r="A420" t="s">
        <v>240</v>
      </c>
      <c r="B420" t="s">
        <v>1075</v>
      </c>
      <c r="C420" t="s">
        <v>40</v>
      </c>
      <c r="D420" t="s">
        <v>65</v>
      </c>
      <c r="E420" t="s">
        <v>44</v>
      </c>
      <c r="F420" t="s">
        <v>17</v>
      </c>
      <c r="G420" t="s">
        <v>24</v>
      </c>
      <c r="H420">
        <v>55</v>
      </c>
      <c r="I420" t="str">
        <f>IF(TBL[[#This Row],[Age]]&gt;=60, "Old", IF(TBL[[#This Row],[Age]]&gt;=30, "Adult", "Young"))</f>
        <v>Adult</v>
      </c>
      <c r="J420" s="1">
        <v>40468</v>
      </c>
      <c r="K420">
        <f t="shared" si="6"/>
        <v>2010</v>
      </c>
      <c r="L420">
        <f>MONTH(TBL[[#This Row],[Hire Date]])</f>
        <v>10</v>
      </c>
      <c r="M420" s="7">
        <v>188727</v>
      </c>
      <c r="N420" s="8">
        <v>0.23</v>
      </c>
      <c r="O420" t="s">
        <v>33</v>
      </c>
      <c r="P420" t="s">
        <v>34</v>
      </c>
      <c r="Q420" s="1" t="s">
        <v>21</v>
      </c>
    </row>
    <row r="421" spans="1:17" x14ac:dyDescent="0.35">
      <c r="A421" t="s">
        <v>113</v>
      </c>
      <c r="B421" t="s">
        <v>1076</v>
      </c>
      <c r="C421" t="s">
        <v>42</v>
      </c>
      <c r="D421" t="s">
        <v>50</v>
      </c>
      <c r="E421" t="s">
        <v>16</v>
      </c>
      <c r="F421" t="s">
        <v>28</v>
      </c>
      <c r="G421" t="s">
        <v>24</v>
      </c>
      <c r="H421">
        <v>52</v>
      </c>
      <c r="I421" t="str">
        <f>IF(TBL[[#This Row],[Age]]&gt;=60, "Old", IF(TBL[[#This Row],[Age]]&gt;=30, "Adult", "Young"))</f>
        <v>Adult</v>
      </c>
      <c r="J421" s="1">
        <v>34383</v>
      </c>
      <c r="K421">
        <f t="shared" si="6"/>
        <v>1994</v>
      </c>
      <c r="L421">
        <f>MONTH(TBL[[#This Row],[Hire Date]])</f>
        <v>2</v>
      </c>
      <c r="M421" s="7">
        <v>99624</v>
      </c>
      <c r="N421" s="8">
        <v>0</v>
      </c>
      <c r="O421" t="s">
        <v>19</v>
      </c>
      <c r="P421" t="s">
        <v>63</v>
      </c>
      <c r="Q421" s="1" t="s">
        <v>21</v>
      </c>
    </row>
    <row r="422" spans="1:17" x14ac:dyDescent="0.35">
      <c r="A422" t="s">
        <v>1077</v>
      </c>
      <c r="B422" t="s">
        <v>1078</v>
      </c>
      <c r="C422" t="s">
        <v>62</v>
      </c>
      <c r="D422" t="s">
        <v>50</v>
      </c>
      <c r="E422" t="s">
        <v>44</v>
      </c>
      <c r="F422" t="s">
        <v>17</v>
      </c>
      <c r="G422" t="s">
        <v>24</v>
      </c>
      <c r="H422">
        <v>55</v>
      </c>
      <c r="I422" t="str">
        <f>IF(TBL[[#This Row],[Age]]&gt;=60, "Old", IF(TBL[[#This Row],[Age]]&gt;=30, "Adult", "Young"))</f>
        <v>Adult</v>
      </c>
      <c r="J422" s="1">
        <v>41202</v>
      </c>
      <c r="K422">
        <f t="shared" si="6"/>
        <v>2012</v>
      </c>
      <c r="L422">
        <f>MONTH(TBL[[#This Row],[Hire Date]])</f>
        <v>10</v>
      </c>
      <c r="M422" s="7">
        <v>108686</v>
      </c>
      <c r="N422" s="8">
        <v>0.06</v>
      </c>
      <c r="O422" t="s">
        <v>19</v>
      </c>
      <c r="P422" t="s">
        <v>29</v>
      </c>
      <c r="Q422" s="1" t="s">
        <v>21</v>
      </c>
    </row>
    <row r="423" spans="1:17" x14ac:dyDescent="0.35">
      <c r="A423" t="s">
        <v>1079</v>
      </c>
      <c r="B423" t="s">
        <v>328</v>
      </c>
      <c r="C423" t="s">
        <v>68</v>
      </c>
      <c r="D423" t="s">
        <v>65</v>
      </c>
      <c r="E423" t="s">
        <v>32</v>
      </c>
      <c r="F423" t="s">
        <v>17</v>
      </c>
      <c r="G423" t="s">
        <v>51</v>
      </c>
      <c r="H423">
        <v>56</v>
      </c>
      <c r="I423" t="str">
        <f>IF(TBL[[#This Row],[Age]]&gt;=60, "Old", IF(TBL[[#This Row],[Age]]&gt;=30, "Adult", "Young"))</f>
        <v>Adult</v>
      </c>
      <c r="J423" s="1">
        <v>34802</v>
      </c>
      <c r="K423">
        <f t="shared" si="6"/>
        <v>1995</v>
      </c>
      <c r="L423">
        <f>MONTH(TBL[[#This Row],[Hire Date]])</f>
        <v>4</v>
      </c>
      <c r="M423" s="7">
        <v>50857</v>
      </c>
      <c r="N423" s="8">
        <v>0</v>
      </c>
      <c r="O423" t="s">
        <v>52</v>
      </c>
      <c r="P423" t="s">
        <v>81</v>
      </c>
      <c r="Q423" s="1" t="s">
        <v>21</v>
      </c>
    </row>
    <row r="424" spans="1:17" x14ac:dyDescent="0.35">
      <c r="A424" t="s">
        <v>1080</v>
      </c>
      <c r="B424" t="s">
        <v>1081</v>
      </c>
      <c r="C424" t="s">
        <v>69</v>
      </c>
      <c r="D424" t="s">
        <v>31</v>
      </c>
      <c r="E424" t="s">
        <v>36</v>
      </c>
      <c r="F424" t="s">
        <v>28</v>
      </c>
      <c r="G424" t="s">
        <v>18</v>
      </c>
      <c r="H424">
        <v>47</v>
      </c>
      <c r="I424" t="str">
        <f>IF(TBL[[#This Row],[Age]]&gt;=60, "Old", IF(TBL[[#This Row],[Age]]&gt;=30, "Adult", "Young"))</f>
        <v>Adult</v>
      </c>
      <c r="J424" s="1">
        <v>36893</v>
      </c>
      <c r="K424">
        <f t="shared" si="6"/>
        <v>2001</v>
      </c>
      <c r="L424">
        <f>MONTH(TBL[[#This Row],[Hire Date]])</f>
        <v>1</v>
      </c>
      <c r="M424" s="7">
        <v>120628</v>
      </c>
      <c r="N424" s="8">
        <v>0</v>
      </c>
      <c r="O424" t="s">
        <v>19</v>
      </c>
      <c r="P424" t="s">
        <v>20</v>
      </c>
      <c r="Q424" s="1" t="s">
        <v>21</v>
      </c>
    </row>
    <row r="425" spans="1:17" x14ac:dyDescent="0.35">
      <c r="A425" t="s">
        <v>1082</v>
      </c>
      <c r="B425" t="s">
        <v>1083</v>
      </c>
      <c r="C425" t="s">
        <v>40</v>
      </c>
      <c r="D425" t="s">
        <v>50</v>
      </c>
      <c r="E425" t="s">
        <v>44</v>
      </c>
      <c r="F425" t="s">
        <v>17</v>
      </c>
      <c r="G425" t="s">
        <v>18</v>
      </c>
      <c r="H425">
        <v>63</v>
      </c>
      <c r="I425" t="str">
        <f>IF(TBL[[#This Row],[Age]]&gt;=60, "Old", IF(TBL[[#This Row],[Age]]&gt;=30, "Adult", "Young"))</f>
        <v>Old</v>
      </c>
      <c r="J425" s="1">
        <v>43996</v>
      </c>
      <c r="K425">
        <f t="shared" si="6"/>
        <v>2020</v>
      </c>
      <c r="L425">
        <f>MONTH(TBL[[#This Row],[Hire Date]])</f>
        <v>6</v>
      </c>
      <c r="M425" s="7">
        <v>181216</v>
      </c>
      <c r="N425" s="8">
        <v>0.27</v>
      </c>
      <c r="O425" t="s">
        <v>19</v>
      </c>
      <c r="P425" t="s">
        <v>29</v>
      </c>
      <c r="Q425" s="1" t="s">
        <v>21</v>
      </c>
    </row>
    <row r="426" spans="1:17" x14ac:dyDescent="0.35">
      <c r="A426" t="s">
        <v>151</v>
      </c>
      <c r="B426" t="s">
        <v>1084</v>
      </c>
      <c r="C426" t="s">
        <v>68</v>
      </c>
      <c r="D426" t="s">
        <v>15</v>
      </c>
      <c r="E426" t="s">
        <v>32</v>
      </c>
      <c r="F426" t="s">
        <v>17</v>
      </c>
      <c r="G426" t="s">
        <v>18</v>
      </c>
      <c r="H426">
        <v>63</v>
      </c>
      <c r="I426" t="str">
        <f>IF(TBL[[#This Row],[Age]]&gt;=60, "Old", IF(TBL[[#This Row],[Age]]&gt;=30, "Adult", "Young"))</f>
        <v>Old</v>
      </c>
      <c r="J426" s="1">
        <v>40984</v>
      </c>
      <c r="K426">
        <f t="shared" si="6"/>
        <v>2012</v>
      </c>
      <c r="L426">
        <f>MONTH(TBL[[#This Row],[Hire Date]])</f>
        <v>3</v>
      </c>
      <c r="M426" s="7">
        <v>46081</v>
      </c>
      <c r="N426" s="8">
        <v>0</v>
      </c>
      <c r="O426" t="s">
        <v>19</v>
      </c>
      <c r="P426" t="s">
        <v>20</v>
      </c>
      <c r="Q426" s="1" t="s">
        <v>21</v>
      </c>
    </row>
    <row r="427" spans="1:17" x14ac:dyDescent="0.35">
      <c r="A427" t="s">
        <v>1085</v>
      </c>
      <c r="B427" t="s">
        <v>1086</v>
      </c>
      <c r="C427" t="s">
        <v>61</v>
      </c>
      <c r="D427" t="s">
        <v>65</v>
      </c>
      <c r="E427" t="s">
        <v>32</v>
      </c>
      <c r="F427" t="s">
        <v>17</v>
      </c>
      <c r="G427" t="s">
        <v>18</v>
      </c>
      <c r="H427">
        <v>55</v>
      </c>
      <c r="I427" t="str">
        <f>IF(TBL[[#This Row],[Age]]&gt;=60, "Old", IF(TBL[[#This Row],[Age]]&gt;=30, "Adult", "Young"))</f>
        <v>Adult</v>
      </c>
      <c r="J427" s="1">
        <v>38135</v>
      </c>
      <c r="K427">
        <f t="shared" si="6"/>
        <v>2004</v>
      </c>
      <c r="L427">
        <f>MONTH(TBL[[#This Row],[Hire Date]])</f>
        <v>5</v>
      </c>
      <c r="M427" s="7">
        <v>159885</v>
      </c>
      <c r="N427" s="8">
        <v>0.12</v>
      </c>
      <c r="O427" t="s">
        <v>19</v>
      </c>
      <c r="P427" t="s">
        <v>29</v>
      </c>
      <c r="Q427" s="1" t="s">
        <v>21</v>
      </c>
    </row>
    <row r="428" spans="1:17" x14ac:dyDescent="0.35">
      <c r="A428" t="s">
        <v>1087</v>
      </c>
      <c r="B428" t="s">
        <v>1088</v>
      </c>
      <c r="C428" t="s">
        <v>40</v>
      </c>
      <c r="D428" t="s">
        <v>50</v>
      </c>
      <c r="E428" t="s">
        <v>36</v>
      </c>
      <c r="F428" t="s">
        <v>17</v>
      </c>
      <c r="G428" t="s">
        <v>18</v>
      </c>
      <c r="H428">
        <v>55</v>
      </c>
      <c r="I428" t="str">
        <f>IF(TBL[[#This Row],[Age]]&gt;=60, "Old", IF(TBL[[#This Row],[Age]]&gt;=30, "Adult", "Young"))</f>
        <v>Adult</v>
      </c>
      <c r="J428" s="1">
        <v>35001</v>
      </c>
      <c r="K428">
        <f t="shared" si="6"/>
        <v>1995</v>
      </c>
      <c r="L428">
        <f>MONTH(TBL[[#This Row],[Hire Date]])</f>
        <v>10</v>
      </c>
      <c r="M428" s="7">
        <v>153271</v>
      </c>
      <c r="N428" s="8">
        <v>0.15</v>
      </c>
      <c r="O428" t="s">
        <v>19</v>
      </c>
      <c r="P428" t="s">
        <v>25</v>
      </c>
      <c r="Q428" s="1" t="s">
        <v>21</v>
      </c>
    </row>
    <row r="429" spans="1:17" x14ac:dyDescent="0.35">
      <c r="A429" t="s">
        <v>1089</v>
      </c>
      <c r="B429" t="s">
        <v>1090</v>
      </c>
      <c r="C429" t="s">
        <v>62</v>
      </c>
      <c r="D429" t="s">
        <v>23</v>
      </c>
      <c r="E429" t="s">
        <v>36</v>
      </c>
      <c r="F429" t="s">
        <v>28</v>
      </c>
      <c r="G429" t="s">
        <v>24</v>
      </c>
      <c r="H429">
        <v>42</v>
      </c>
      <c r="I429" t="str">
        <f>IF(TBL[[#This Row],[Age]]&gt;=60, "Old", IF(TBL[[#This Row],[Age]]&gt;=30, "Adult", "Young"))</f>
        <v>Adult</v>
      </c>
      <c r="J429" s="1">
        <v>40159</v>
      </c>
      <c r="K429">
        <f t="shared" si="6"/>
        <v>2009</v>
      </c>
      <c r="L429">
        <f>MONTH(TBL[[#This Row],[Hire Date]])</f>
        <v>12</v>
      </c>
      <c r="M429" s="7">
        <v>114242</v>
      </c>
      <c r="N429" s="8">
        <v>0.08</v>
      </c>
      <c r="O429" t="s">
        <v>19</v>
      </c>
      <c r="P429" t="s">
        <v>39</v>
      </c>
      <c r="Q429" s="1" t="s">
        <v>21</v>
      </c>
    </row>
    <row r="430" spans="1:17" x14ac:dyDescent="0.35">
      <c r="A430" t="s">
        <v>1091</v>
      </c>
      <c r="B430" t="s">
        <v>1092</v>
      </c>
      <c r="C430" t="s">
        <v>73</v>
      </c>
      <c r="D430" t="s">
        <v>27</v>
      </c>
      <c r="E430" t="s">
        <v>44</v>
      </c>
      <c r="F430" t="s">
        <v>17</v>
      </c>
      <c r="G430" t="s">
        <v>24</v>
      </c>
      <c r="H430">
        <v>39</v>
      </c>
      <c r="I430" t="str">
        <f>IF(TBL[[#This Row],[Age]]&gt;=60, "Old", IF(TBL[[#This Row],[Age]]&gt;=30, "Adult", "Young"))</f>
        <v>Adult</v>
      </c>
      <c r="J430" s="1">
        <v>44153</v>
      </c>
      <c r="K430">
        <f t="shared" si="6"/>
        <v>2020</v>
      </c>
      <c r="L430">
        <f>MONTH(TBL[[#This Row],[Hire Date]])</f>
        <v>11</v>
      </c>
      <c r="M430" s="7">
        <v>48415</v>
      </c>
      <c r="N430" s="8">
        <v>0</v>
      </c>
      <c r="O430" t="s">
        <v>33</v>
      </c>
      <c r="P430" t="s">
        <v>74</v>
      </c>
      <c r="Q430" s="1" t="s">
        <v>21</v>
      </c>
    </row>
    <row r="431" spans="1:17" x14ac:dyDescent="0.35">
      <c r="A431" t="s">
        <v>297</v>
      </c>
      <c r="B431" t="s">
        <v>1093</v>
      </c>
      <c r="C431" t="s">
        <v>86</v>
      </c>
      <c r="D431" t="s">
        <v>31</v>
      </c>
      <c r="E431" t="s">
        <v>36</v>
      </c>
      <c r="F431" t="s">
        <v>28</v>
      </c>
      <c r="G431" t="s">
        <v>51</v>
      </c>
      <c r="H431">
        <v>35</v>
      </c>
      <c r="I431" t="str">
        <f>IF(TBL[[#This Row],[Age]]&gt;=60, "Old", IF(TBL[[#This Row],[Age]]&gt;=30, "Adult", "Young"))</f>
        <v>Adult</v>
      </c>
      <c r="J431" s="1">
        <v>42878</v>
      </c>
      <c r="K431">
        <f t="shared" si="6"/>
        <v>2017</v>
      </c>
      <c r="L431">
        <f>MONTH(TBL[[#This Row],[Hire Date]])</f>
        <v>5</v>
      </c>
      <c r="M431" s="7">
        <v>65566</v>
      </c>
      <c r="N431" s="8">
        <v>0</v>
      </c>
      <c r="O431" t="s">
        <v>19</v>
      </c>
      <c r="P431" t="s">
        <v>63</v>
      </c>
      <c r="Q431" s="1" t="s">
        <v>21</v>
      </c>
    </row>
    <row r="432" spans="1:17" x14ac:dyDescent="0.35">
      <c r="A432" t="s">
        <v>1094</v>
      </c>
      <c r="B432" t="s">
        <v>1095</v>
      </c>
      <c r="C432" t="s">
        <v>61</v>
      </c>
      <c r="D432" t="s">
        <v>43</v>
      </c>
      <c r="E432" t="s">
        <v>16</v>
      </c>
      <c r="F432" t="s">
        <v>28</v>
      </c>
      <c r="G432" t="s">
        <v>24</v>
      </c>
      <c r="H432">
        <v>45</v>
      </c>
      <c r="I432" t="str">
        <f>IF(TBL[[#This Row],[Age]]&gt;=60, "Old", IF(TBL[[#This Row],[Age]]&gt;=30, "Adult", "Young"))</f>
        <v>Adult</v>
      </c>
      <c r="J432" s="1">
        <v>37014</v>
      </c>
      <c r="K432">
        <f t="shared" si="6"/>
        <v>2001</v>
      </c>
      <c r="L432">
        <f>MONTH(TBL[[#This Row],[Hire Date]])</f>
        <v>5</v>
      </c>
      <c r="M432" s="7">
        <v>147752</v>
      </c>
      <c r="N432" s="8">
        <v>0.12</v>
      </c>
      <c r="O432" t="s">
        <v>33</v>
      </c>
      <c r="P432" t="s">
        <v>74</v>
      </c>
      <c r="Q432" s="1">
        <v>40903</v>
      </c>
    </row>
    <row r="433" spans="1:17" x14ac:dyDescent="0.35">
      <c r="A433" t="s">
        <v>1096</v>
      </c>
      <c r="B433" t="s">
        <v>1097</v>
      </c>
      <c r="C433" t="s">
        <v>61</v>
      </c>
      <c r="D433" t="s">
        <v>43</v>
      </c>
      <c r="E433" t="s">
        <v>36</v>
      </c>
      <c r="F433" t="s">
        <v>17</v>
      </c>
      <c r="G433" t="s">
        <v>24</v>
      </c>
      <c r="H433">
        <v>25</v>
      </c>
      <c r="I433" t="str">
        <f>IF(TBL[[#This Row],[Age]]&gt;=60, "Old", IF(TBL[[#This Row],[Age]]&gt;=30, "Adult", "Young"))</f>
        <v>Young</v>
      </c>
      <c r="J433" s="1">
        <v>44453</v>
      </c>
      <c r="K433">
        <f t="shared" si="6"/>
        <v>2021</v>
      </c>
      <c r="L433">
        <f>MONTH(TBL[[#This Row],[Hire Date]])</f>
        <v>9</v>
      </c>
      <c r="M433" s="7">
        <v>136810</v>
      </c>
      <c r="N433" s="8">
        <v>0.14000000000000001</v>
      </c>
      <c r="O433" t="s">
        <v>33</v>
      </c>
      <c r="P433" t="s">
        <v>80</v>
      </c>
      <c r="Q433" s="1" t="s">
        <v>21</v>
      </c>
    </row>
    <row r="434" spans="1:17" x14ac:dyDescent="0.35">
      <c r="A434" t="s">
        <v>1098</v>
      </c>
      <c r="B434" t="s">
        <v>1099</v>
      </c>
      <c r="C434" t="s">
        <v>68</v>
      </c>
      <c r="D434" t="s">
        <v>50</v>
      </c>
      <c r="E434" t="s">
        <v>32</v>
      </c>
      <c r="F434" t="s">
        <v>28</v>
      </c>
      <c r="G434" t="s">
        <v>18</v>
      </c>
      <c r="H434">
        <v>47</v>
      </c>
      <c r="I434" t="str">
        <f>IF(TBL[[#This Row],[Age]]&gt;=60, "Old", IF(TBL[[#This Row],[Age]]&gt;=30, "Adult", "Young"))</f>
        <v>Adult</v>
      </c>
      <c r="J434" s="1">
        <v>41333</v>
      </c>
      <c r="K434">
        <f t="shared" si="6"/>
        <v>2013</v>
      </c>
      <c r="L434">
        <f>MONTH(TBL[[#This Row],[Hire Date]])</f>
        <v>2</v>
      </c>
      <c r="M434" s="7">
        <v>54635</v>
      </c>
      <c r="N434" s="8">
        <v>0</v>
      </c>
      <c r="O434" t="s">
        <v>19</v>
      </c>
      <c r="P434" t="s">
        <v>20</v>
      </c>
      <c r="Q434" s="1" t="s">
        <v>21</v>
      </c>
    </row>
    <row r="435" spans="1:17" x14ac:dyDescent="0.35">
      <c r="A435" t="s">
        <v>1100</v>
      </c>
      <c r="B435" t="s">
        <v>1101</v>
      </c>
      <c r="C435" t="s">
        <v>38</v>
      </c>
      <c r="D435" t="s">
        <v>27</v>
      </c>
      <c r="E435" t="s">
        <v>32</v>
      </c>
      <c r="F435" t="s">
        <v>17</v>
      </c>
      <c r="G435" t="s">
        <v>18</v>
      </c>
      <c r="H435">
        <v>42</v>
      </c>
      <c r="I435" t="str">
        <f>IF(TBL[[#This Row],[Age]]&gt;=60, "Old", IF(TBL[[#This Row],[Age]]&gt;=30, "Adult", "Young"))</f>
        <v>Adult</v>
      </c>
      <c r="J435" s="1">
        <v>43866</v>
      </c>
      <c r="K435">
        <f t="shared" si="6"/>
        <v>2020</v>
      </c>
      <c r="L435">
        <f>MONTH(TBL[[#This Row],[Hire Date]])</f>
        <v>2</v>
      </c>
      <c r="M435" s="7">
        <v>96636</v>
      </c>
      <c r="N435" s="8">
        <v>0</v>
      </c>
      <c r="O435" t="s">
        <v>19</v>
      </c>
      <c r="P435" t="s">
        <v>29</v>
      </c>
      <c r="Q435" s="1" t="s">
        <v>21</v>
      </c>
    </row>
    <row r="436" spans="1:17" x14ac:dyDescent="0.35">
      <c r="A436" t="s">
        <v>198</v>
      </c>
      <c r="B436" t="s">
        <v>1102</v>
      </c>
      <c r="C436" t="s">
        <v>98</v>
      </c>
      <c r="D436" t="s">
        <v>27</v>
      </c>
      <c r="E436" t="s">
        <v>36</v>
      </c>
      <c r="F436" t="s">
        <v>17</v>
      </c>
      <c r="G436" t="s">
        <v>47</v>
      </c>
      <c r="H436">
        <v>35</v>
      </c>
      <c r="I436" t="str">
        <f>IF(TBL[[#This Row],[Age]]&gt;=60, "Old", IF(TBL[[#This Row],[Age]]&gt;=30, "Adult", "Young"))</f>
        <v>Adult</v>
      </c>
      <c r="J436" s="1">
        <v>41941</v>
      </c>
      <c r="K436">
        <f t="shared" si="6"/>
        <v>2014</v>
      </c>
      <c r="L436">
        <f>MONTH(TBL[[#This Row],[Hire Date]])</f>
        <v>10</v>
      </c>
      <c r="M436" s="7">
        <v>91592</v>
      </c>
      <c r="N436" s="8">
        <v>0</v>
      </c>
      <c r="O436" t="s">
        <v>19</v>
      </c>
      <c r="P436" t="s">
        <v>20</v>
      </c>
      <c r="Q436" s="1" t="s">
        <v>21</v>
      </c>
    </row>
    <row r="437" spans="1:17" x14ac:dyDescent="0.35">
      <c r="A437" t="s">
        <v>78</v>
      </c>
      <c r="B437" t="s">
        <v>1103</v>
      </c>
      <c r="C437" t="s">
        <v>83</v>
      </c>
      <c r="D437" t="s">
        <v>23</v>
      </c>
      <c r="E437" t="s">
        <v>16</v>
      </c>
      <c r="F437" t="s">
        <v>17</v>
      </c>
      <c r="G437" t="s">
        <v>24</v>
      </c>
      <c r="H437">
        <v>45</v>
      </c>
      <c r="I437" t="str">
        <f>IF(TBL[[#This Row],[Age]]&gt;=60, "Old", IF(TBL[[#This Row],[Age]]&gt;=30, "Adult", "Young"))</f>
        <v>Adult</v>
      </c>
      <c r="J437" s="1">
        <v>36755</v>
      </c>
      <c r="K437">
        <f t="shared" si="6"/>
        <v>2000</v>
      </c>
      <c r="L437">
        <f>MONTH(TBL[[#This Row],[Hire Date]])</f>
        <v>8</v>
      </c>
      <c r="M437" s="7">
        <v>55563</v>
      </c>
      <c r="N437" s="8">
        <v>0</v>
      </c>
      <c r="O437" t="s">
        <v>33</v>
      </c>
      <c r="P437" t="s">
        <v>34</v>
      </c>
      <c r="Q437" s="1" t="s">
        <v>21</v>
      </c>
    </row>
    <row r="438" spans="1:17" x14ac:dyDescent="0.35">
      <c r="A438" t="s">
        <v>288</v>
      </c>
      <c r="B438" t="s">
        <v>1104</v>
      </c>
      <c r="C438" t="s">
        <v>40</v>
      </c>
      <c r="D438" t="s">
        <v>27</v>
      </c>
      <c r="E438" t="s">
        <v>16</v>
      </c>
      <c r="F438" t="s">
        <v>17</v>
      </c>
      <c r="G438" t="s">
        <v>24</v>
      </c>
      <c r="H438">
        <v>52</v>
      </c>
      <c r="I438" t="str">
        <f>IF(TBL[[#This Row],[Age]]&gt;=60, "Old", IF(TBL[[#This Row],[Age]]&gt;=30, "Adult", "Young"))</f>
        <v>Adult</v>
      </c>
      <c r="J438" s="1">
        <v>35109</v>
      </c>
      <c r="K438">
        <f t="shared" si="6"/>
        <v>1996</v>
      </c>
      <c r="L438">
        <f>MONTH(TBL[[#This Row],[Hire Date]])</f>
        <v>2</v>
      </c>
      <c r="M438" s="7">
        <v>159724</v>
      </c>
      <c r="N438" s="8">
        <v>0.23</v>
      </c>
      <c r="O438" t="s">
        <v>33</v>
      </c>
      <c r="P438" t="s">
        <v>60</v>
      </c>
      <c r="Q438" s="1" t="s">
        <v>21</v>
      </c>
    </row>
    <row r="439" spans="1:17" x14ac:dyDescent="0.35">
      <c r="A439" t="s">
        <v>1105</v>
      </c>
      <c r="B439" t="s">
        <v>1106</v>
      </c>
      <c r="C439" t="s">
        <v>14</v>
      </c>
      <c r="D439" t="s">
        <v>43</v>
      </c>
      <c r="E439" t="s">
        <v>32</v>
      </c>
      <c r="F439" t="s">
        <v>28</v>
      </c>
      <c r="G439" t="s">
        <v>24</v>
      </c>
      <c r="H439">
        <v>57</v>
      </c>
      <c r="I439" t="str">
        <f>IF(TBL[[#This Row],[Age]]&gt;=60, "Old", IF(TBL[[#This Row],[Age]]&gt;=30, "Adult", "Young"))</f>
        <v>Adult</v>
      </c>
      <c r="J439" s="1">
        <v>42951</v>
      </c>
      <c r="K439">
        <f t="shared" si="6"/>
        <v>2017</v>
      </c>
      <c r="L439">
        <f>MONTH(TBL[[#This Row],[Hire Date]])</f>
        <v>8</v>
      </c>
      <c r="M439" s="7">
        <v>183190</v>
      </c>
      <c r="N439" s="8">
        <v>0.36</v>
      </c>
      <c r="O439" t="s">
        <v>19</v>
      </c>
      <c r="P439" t="s">
        <v>20</v>
      </c>
      <c r="Q439" s="1" t="s">
        <v>21</v>
      </c>
    </row>
    <row r="440" spans="1:17" x14ac:dyDescent="0.35">
      <c r="A440" t="s">
        <v>1107</v>
      </c>
      <c r="B440" t="s">
        <v>1108</v>
      </c>
      <c r="C440" t="s">
        <v>68</v>
      </c>
      <c r="D440" t="s">
        <v>65</v>
      </c>
      <c r="E440" t="s">
        <v>44</v>
      </c>
      <c r="F440" t="s">
        <v>17</v>
      </c>
      <c r="G440" t="s">
        <v>18</v>
      </c>
      <c r="H440">
        <v>56</v>
      </c>
      <c r="I440" t="str">
        <f>IF(TBL[[#This Row],[Age]]&gt;=60, "Old", IF(TBL[[#This Row],[Age]]&gt;=30, "Adult", "Young"))</f>
        <v>Adult</v>
      </c>
      <c r="J440" s="1">
        <v>43824</v>
      </c>
      <c r="K440">
        <f t="shared" si="6"/>
        <v>2019</v>
      </c>
      <c r="L440">
        <f>MONTH(TBL[[#This Row],[Hire Date]])</f>
        <v>12</v>
      </c>
      <c r="M440" s="7">
        <v>54829</v>
      </c>
      <c r="N440" s="8">
        <v>0</v>
      </c>
      <c r="O440" t="s">
        <v>19</v>
      </c>
      <c r="P440" t="s">
        <v>39</v>
      </c>
      <c r="Q440" s="1" t="s">
        <v>21</v>
      </c>
    </row>
    <row r="441" spans="1:17" x14ac:dyDescent="0.35">
      <c r="A441" t="s">
        <v>1109</v>
      </c>
      <c r="B441" t="s">
        <v>298</v>
      </c>
      <c r="C441" t="s">
        <v>30</v>
      </c>
      <c r="D441" t="s">
        <v>31</v>
      </c>
      <c r="E441" t="s">
        <v>32</v>
      </c>
      <c r="F441" t="s">
        <v>28</v>
      </c>
      <c r="G441" t="s">
        <v>51</v>
      </c>
      <c r="H441">
        <v>46</v>
      </c>
      <c r="I441" t="str">
        <f>IF(TBL[[#This Row],[Age]]&gt;=60, "Old", IF(TBL[[#This Row],[Age]]&gt;=30, "Adult", "Young"))</f>
        <v>Adult</v>
      </c>
      <c r="J441" s="1">
        <v>38464</v>
      </c>
      <c r="K441">
        <f t="shared" si="6"/>
        <v>2005</v>
      </c>
      <c r="L441">
        <f>MONTH(TBL[[#This Row],[Hire Date]])</f>
        <v>4</v>
      </c>
      <c r="M441" s="7">
        <v>96639</v>
      </c>
      <c r="N441" s="8">
        <v>0</v>
      </c>
      <c r="O441" t="s">
        <v>52</v>
      </c>
      <c r="P441" t="s">
        <v>66</v>
      </c>
      <c r="Q441" s="1" t="s">
        <v>21</v>
      </c>
    </row>
    <row r="442" spans="1:17" x14ac:dyDescent="0.35">
      <c r="A442" t="s">
        <v>115</v>
      </c>
      <c r="B442" t="s">
        <v>1110</v>
      </c>
      <c r="C442" t="s">
        <v>62</v>
      </c>
      <c r="D442" t="s">
        <v>43</v>
      </c>
      <c r="E442" t="s">
        <v>44</v>
      </c>
      <c r="F442" t="s">
        <v>17</v>
      </c>
      <c r="G442" t="s">
        <v>24</v>
      </c>
      <c r="H442">
        <v>43</v>
      </c>
      <c r="I442" t="str">
        <f>IF(TBL[[#This Row],[Age]]&gt;=60, "Old", IF(TBL[[#This Row],[Age]]&gt;=30, "Adult", "Young"))</f>
        <v>Adult</v>
      </c>
      <c r="J442" s="1">
        <v>38879</v>
      </c>
      <c r="K442">
        <f t="shared" si="6"/>
        <v>2006</v>
      </c>
      <c r="L442">
        <f>MONTH(TBL[[#This Row],[Hire Date]])</f>
        <v>6</v>
      </c>
      <c r="M442" s="7">
        <v>117278</v>
      </c>
      <c r="N442" s="8">
        <v>0.09</v>
      </c>
      <c r="O442" t="s">
        <v>19</v>
      </c>
      <c r="P442" t="s">
        <v>45</v>
      </c>
      <c r="Q442" s="1" t="s">
        <v>21</v>
      </c>
    </row>
    <row r="443" spans="1:17" x14ac:dyDescent="0.35">
      <c r="A443" t="s">
        <v>1111</v>
      </c>
      <c r="B443" t="s">
        <v>1112</v>
      </c>
      <c r="C443" t="s">
        <v>56</v>
      </c>
      <c r="D443" t="s">
        <v>27</v>
      </c>
      <c r="E443" t="s">
        <v>44</v>
      </c>
      <c r="F443" t="s">
        <v>28</v>
      </c>
      <c r="G443" t="s">
        <v>24</v>
      </c>
      <c r="H443">
        <v>53</v>
      </c>
      <c r="I443" t="str">
        <f>IF(TBL[[#This Row],[Age]]&gt;=60, "Old", IF(TBL[[#This Row],[Age]]&gt;=30, "Adult", "Young"))</f>
        <v>Adult</v>
      </c>
      <c r="J443" s="1">
        <v>39487</v>
      </c>
      <c r="K443">
        <f t="shared" si="6"/>
        <v>2008</v>
      </c>
      <c r="L443">
        <f>MONTH(TBL[[#This Row],[Hire Date]])</f>
        <v>2</v>
      </c>
      <c r="M443" s="7">
        <v>84193</v>
      </c>
      <c r="N443" s="8">
        <v>0.09</v>
      </c>
      <c r="O443" t="s">
        <v>33</v>
      </c>
      <c r="P443" t="s">
        <v>74</v>
      </c>
      <c r="Q443" s="1" t="s">
        <v>21</v>
      </c>
    </row>
    <row r="444" spans="1:17" x14ac:dyDescent="0.35">
      <c r="A444" t="s">
        <v>1113</v>
      </c>
      <c r="B444" t="s">
        <v>1114</v>
      </c>
      <c r="C444" t="s">
        <v>89</v>
      </c>
      <c r="D444" t="s">
        <v>27</v>
      </c>
      <c r="E444" t="s">
        <v>36</v>
      </c>
      <c r="F444" t="s">
        <v>17</v>
      </c>
      <c r="G444" t="s">
        <v>18</v>
      </c>
      <c r="H444">
        <v>47</v>
      </c>
      <c r="I444" t="str">
        <f>IF(TBL[[#This Row],[Age]]&gt;=60, "Old", IF(TBL[[#This Row],[Age]]&gt;=30, "Adult", "Young"))</f>
        <v>Adult</v>
      </c>
      <c r="J444" s="1">
        <v>43309</v>
      </c>
      <c r="K444">
        <f t="shared" si="6"/>
        <v>2018</v>
      </c>
      <c r="L444">
        <f>MONTH(TBL[[#This Row],[Hire Date]])</f>
        <v>7</v>
      </c>
      <c r="M444" s="7">
        <v>87806</v>
      </c>
      <c r="N444" s="8">
        <v>0</v>
      </c>
      <c r="O444" t="s">
        <v>19</v>
      </c>
      <c r="P444" t="s">
        <v>63</v>
      </c>
      <c r="Q444" s="1" t="s">
        <v>21</v>
      </c>
    </row>
    <row r="445" spans="1:17" x14ac:dyDescent="0.35">
      <c r="A445" t="s">
        <v>1115</v>
      </c>
      <c r="B445" t="s">
        <v>1116</v>
      </c>
      <c r="C445" t="s">
        <v>58</v>
      </c>
      <c r="D445" t="s">
        <v>31</v>
      </c>
      <c r="E445" t="s">
        <v>16</v>
      </c>
      <c r="F445" t="s">
        <v>28</v>
      </c>
      <c r="G445" t="s">
        <v>18</v>
      </c>
      <c r="H445">
        <v>62</v>
      </c>
      <c r="I445" t="str">
        <f>IF(TBL[[#This Row],[Age]]&gt;=60, "Old", IF(TBL[[#This Row],[Age]]&gt;=30, "Adult", "Young"))</f>
        <v>Old</v>
      </c>
      <c r="J445" s="1">
        <v>40820</v>
      </c>
      <c r="K445">
        <f t="shared" si="6"/>
        <v>2011</v>
      </c>
      <c r="L445">
        <f>MONTH(TBL[[#This Row],[Hire Date]])</f>
        <v>10</v>
      </c>
      <c r="M445" s="7">
        <v>63959</v>
      </c>
      <c r="N445" s="8">
        <v>0</v>
      </c>
      <c r="O445" t="s">
        <v>19</v>
      </c>
      <c r="P445" t="s">
        <v>63</v>
      </c>
      <c r="Q445" s="1" t="s">
        <v>21</v>
      </c>
    </row>
    <row r="446" spans="1:17" x14ac:dyDescent="0.35">
      <c r="A446" t="s">
        <v>1117</v>
      </c>
      <c r="B446" t="s">
        <v>1118</v>
      </c>
      <c r="C446" t="s">
        <v>14</v>
      </c>
      <c r="D446" t="s">
        <v>27</v>
      </c>
      <c r="E446" t="s">
        <v>16</v>
      </c>
      <c r="F446" t="s">
        <v>28</v>
      </c>
      <c r="G446" t="s">
        <v>24</v>
      </c>
      <c r="H446">
        <v>35</v>
      </c>
      <c r="I446" t="str">
        <f>IF(TBL[[#This Row],[Age]]&gt;=60, "Old", IF(TBL[[#This Row],[Age]]&gt;=30, "Adult", "Young"))</f>
        <v>Adult</v>
      </c>
      <c r="J446" s="1">
        <v>42166</v>
      </c>
      <c r="K446">
        <f t="shared" si="6"/>
        <v>2015</v>
      </c>
      <c r="L446">
        <f>MONTH(TBL[[#This Row],[Hire Date]])</f>
        <v>6</v>
      </c>
      <c r="M446" s="7">
        <v>234723</v>
      </c>
      <c r="N446" s="8">
        <v>0.36</v>
      </c>
      <c r="O446" t="s">
        <v>33</v>
      </c>
      <c r="P446" t="s">
        <v>74</v>
      </c>
      <c r="Q446" s="1" t="s">
        <v>21</v>
      </c>
    </row>
    <row r="447" spans="1:17" x14ac:dyDescent="0.35">
      <c r="A447" t="s">
        <v>1119</v>
      </c>
      <c r="B447" t="s">
        <v>1120</v>
      </c>
      <c r="C447" t="s">
        <v>68</v>
      </c>
      <c r="D447" t="s">
        <v>65</v>
      </c>
      <c r="E447" t="s">
        <v>32</v>
      </c>
      <c r="F447" t="s">
        <v>17</v>
      </c>
      <c r="G447" t="s">
        <v>24</v>
      </c>
      <c r="H447">
        <v>27</v>
      </c>
      <c r="I447" t="str">
        <f>IF(TBL[[#This Row],[Age]]&gt;=60, "Old", IF(TBL[[#This Row],[Age]]&gt;=30, "Adult", "Young"))</f>
        <v>Young</v>
      </c>
      <c r="J447" s="1">
        <v>43701</v>
      </c>
      <c r="K447">
        <f t="shared" si="6"/>
        <v>2019</v>
      </c>
      <c r="L447">
        <f>MONTH(TBL[[#This Row],[Hire Date]])</f>
        <v>8</v>
      </c>
      <c r="M447" s="7">
        <v>50809</v>
      </c>
      <c r="N447" s="8">
        <v>0</v>
      </c>
      <c r="O447" t="s">
        <v>33</v>
      </c>
      <c r="P447" t="s">
        <v>80</v>
      </c>
      <c r="Q447" s="1" t="s">
        <v>21</v>
      </c>
    </row>
    <row r="448" spans="1:17" x14ac:dyDescent="0.35">
      <c r="A448" t="s">
        <v>1121</v>
      </c>
      <c r="B448" t="s">
        <v>1122</v>
      </c>
      <c r="C448" t="s">
        <v>42</v>
      </c>
      <c r="D448" t="s">
        <v>15</v>
      </c>
      <c r="E448" t="s">
        <v>36</v>
      </c>
      <c r="F448" t="s">
        <v>28</v>
      </c>
      <c r="G448" t="s">
        <v>18</v>
      </c>
      <c r="H448">
        <v>55</v>
      </c>
      <c r="I448" t="str">
        <f>IF(TBL[[#This Row],[Age]]&gt;=60, "Old", IF(TBL[[#This Row],[Age]]&gt;=30, "Adult", "Young"))</f>
        <v>Adult</v>
      </c>
      <c r="J448" s="1">
        <v>37456</v>
      </c>
      <c r="K448">
        <f t="shared" si="6"/>
        <v>2002</v>
      </c>
      <c r="L448">
        <f>MONTH(TBL[[#This Row],[Hire Date]])</f>
        <v>7</v>
      </c>
      <c r="M448" s="7">
        <v>77396</v>
      </c>
      <c r="N448" s="8">
        <v>0</v>
      </c>
      <c r="O448" t="s">
        <v>19</v>
      </c>
      <c r="P448" t="s">
        <v>45</v>
      </c>
      <c r="Q448" s="1" t="s">
        <v>21</v>
      </c>
    </row>
    <row r="449" spans="1:17" x14ac:dyDescent="0.35">
      <c r="A449" t="s">
        <v>142</v>
      </c>
      <c r="B449" t="s">
        <v>1123</v>
      </c>
      <c r="C449" t="s">
        <v>42</v>
      </c>
      <c r="D449" t="s">
        <v>15</v>
      </c>
      <c r="E449" t="s">
        <v>44</v>
      </c>
      <c r="F449" t="s">
        <v>17</v>
      </c>
      <c r="G449" t="s">
        <v>24</v>
      </c>
      <c r="H449">
        <v>63</v>
      </c>
      <c r="I449" t="str">
        <f>IF(TBL[[#This Row],[Age]]&gt;=60, "Old", IF(TBL[[#This Row],[Age]]&gt;=30, "Adult", "Young"))</f>
        <v>Old</v>
      </c>
      <c r="J449" s="1">
        <v>36525</v>
      </c>
      <c r="K449">
        <f t="shared" si="6"/>
        <v>1999</v>
      </c>
      <c r="L449">
        <f>MONTH(TBL[[#This Row],[Hire Date]])</f>
        <v>12</v>
      </c>
      <c r="M449" s="7">
        <v>89523</v>
      </c>
      <c r="N449" s="8">
        <v>0</v>
      </c>
      <c r="O449" t="s">
        <v>19</v>
      </c>
      <c r="P449" t="s">
        <v>39</v>
      </c>
      <c r="Q449" s="1" t="s">
        <v>21</v>
      </c>
    </row>
    <row r="450" spans="1:17" x14ac:dyDescent="0.35">
      <c r="A450" t="s">
        <v>1124</v>
      </c>
      <c r="B450" t="s">
        <v>1125</v>
      </c>
      <c r="C450" t="s">
        <v>38</v>
      </c>
      <c r="D450" t="s">
        <v>27</v>
      </c>
      <c r="E450" t="s">
        <v>32</v>
      </c>
      <c r="F450" t="s">
        <v>17</v>
      </c>
      <c r="G450" t="s">
        <v>24</v>
      </c>
      <c r="H450">
        <v>53</v>
      </c>
      <c r="I450" t="str">
        <f>IF(TBL[[#This Row],[Age]]&gt;=60, "Old", IF(TBL[[#This Row],[Age]]&gt;=30, "Adult", "Young"))</f>
        <v>Adult</v>
      </c>
      <c r="J450" s="1">
        <v>40744</v>
      </c>
      <c r="K450">
        <f t="shared" ref="K450:K513" si="7">YEAR(--J450)</f>
        <v>2011</v>
      </c>
      <c r="L450">
        <f>MONTH(TBL[[#This Row],[Hire Date]])</f>
        <v>7</v>
      </c>
      <c r="M450" s="7">
        <v>86173</v>
      </c>
      <c r="N450" s="8">
        <v>0</v>
      </c>
      <c r="O450" t="s">
        <v>33</v>
      </c>
      <c r="P450" t="s">
        <v>80</v>
      </c>
      <c r="Q450" s="1" t="s">
        <v>21</v>
      </c>
    </row>
    <row r="451" spans="1:17" x14ac:dyDescent="0.35">
      <c r="A451" t="s">
        <v>1126</v>
      </c>
      <c r="B451" t="s">
        <v>1127</v>
      </c>
      <c r="C451" t="s">
        <v>14</v>
      </c>
      <c r="D451" t="s">
        <v>50</v>
      </c>
      <c r="E451" t="s">
        <v>36</v>
      </c>
      <c r="F451" t="s">
        <v>17</v>
      </c>
      <c r="G451" t="s">
        <v>47</v>
      </c>
      <c r="H451">
        <v>54</v>
      </c>
      <c r="I451" t="str">
        <f>IF(TBL[[#This Row],[Age]]&gt;=60, "Old", IF(TBL[[#This Row],[Age]]&gt;=30, "Adult", "Young"))</f>
        <v>Adult</v>
      </c>
      <c r="J451" s="1">
        <v>36757</v>
      </c>
      <c r="K451">
        <f t="shared" si="7"/>
        <v>2000</v>
      </c>
      <c r="L451">
        <f>MONTH(TBL[[#This Row],[Hire Date]])</f>
        <v>8</v>
      </c>
      <c r="M451" s="7">
        <v>222224</v>
      </c>
      <c r="N451" s="8">
        <v>0.38</v>
      </c>
      <c r="O451" t="s">
        <v>19</v>
      </c>
      <c r="P451" t="s">
        <v>29</v>
      </c>
      <c r="Q451" s="1" t="s">
        <v>21</v>
      </c>
    </row>
    <row r="452" spans="1:17" x14ac:dyDescent="0.35">
      <c r="A452" t="s">
        <v>1128</v>
      </c>
      <c r="B452" t="s">
        <v>1129</v>
      </c>
      <c r="C452" t="s">
        <v>61</v>
      </c>
      <c r="D452" t="s">
        <v>15</v>
      </c>
      <c r="E452" t="s">
        <v>16</v>
      </c>
      <c r="F452" t="s">
        <v>28</v>
      </c>
      <c r="G452" t="s">
        <v>24</v>
      </c>
      <c r="H452">
        <v>43</v>
      </c>
      <c r="I452" t="str">
        <f>IF(TBL[[#This Row],[Age]]&gt;=60, "Old", IF(TBL[[#This Row],[Age]]&gt;=30, "Adult", "Young"))</f>
        <v>Adult</v>
      </c>
      <c r="J452" s="1">
        <v>44303</v>
      </c>
      <c r="K452">
        <f t="shared" si="7"/>
        <v>2021</v>
      </c>
      <c r="L452">
        <f>MONTH(TBL[[#This Row],[Hire Date]])</f>
        <v>4</v>
      </c>
      <c r="M452" s="7">
        <v>146140</v>
      </c>
      <c r="N452" s="8">
        <v>0.15</v>
      </c>
      <c r="O452" t="s">
        <v>19</v>
      </c>
      <c r="P452" t="s">
        <v>63</v>
      </c>
      <c r="Q452" s="1" t="s">
        <v>21</v>
      </c>
    </row>
    <row r="453" spans="1:17" x14ac:dyDescent="0.35">
      <c r="A453" t="s">
        <v>334</v>
      </c>
      <c r="B453" t="s">
        <v>1130</v>
      </c>
      <c r="C453" t="s">
        <v>97</v>
      </c>
      <c r="D453" t="s">
        <v>31</v>
      </c>
      <c r="E453" t="s">
        <v>44</v>
      </c>
      <c r="F453" t="s">
        <v>17</v>
      </c>
      <c r="G453" t="s">
        <v>18</v>
      </c>
      <c r="H453">
        <v>64</v>
      </c>
      <c r="I453" t="str">
        <f>IF(TBL[[#This Row],[Age]]&gt;=60, "Old", IF(TBL[[#This Row],[Age]]&gt;=30, "Adult", "Young"))</f>
        <v>Old</v>
      </c>
      <c r="J453" s="1">
        <v>34505</v>
      </c>
      <c r="K453">
        <f t="shared" si="7"/>
        <v>1994</v>
      </c>
      <c r="L453">
        <f>MONTH(TBL[[#This Row],[Hire Date]])</f>
        <v>6</v>
      </c>
      <c r="M453" s="7">
        <v>109456</v>
      </c>
      <c r="N453" s="8">
        <v>0.1</v>
      </c>
      <c r="O453" t="s">
        <v>19</v>
      </c>
      <c r="P453" t="s">
        <v>20</v>
      </c>
      <c r="Q453" s="1" t="s">
        <v>21</v>
      </c>
    </row>
    <row r="454" spans="1:17" x14ac:dyDescent="0.35">
      <c r="A454" t="s">
        <v>1131</v>
      </c>
      <c r="B454" t="s">
        <v>1132</v>
      </c>
      <c r="C454" t="s">
        <v>40</v>
      </c>
      <c r="D454" t="s">
        <v>15</v>
      </c>
      <c r="E454" t="s">
        <v>16</v>
      </c>
      <c r="F454" t="s">
        <v>17</v>
      </c>
      <c r="G454" t="s">
        <v>51</v>
      </c>
      <c r="H454">
        <v>65</v>
      </c>
      <c r="I454" t="str">
        <f>IF(TBL[[#This Row],[Age]]&gt;=60, "Old", IF(TBL[[#This Row],[Age]]&gt;=30, "Adult", "Young"))</f>
        <v>Old</v>
      </c>
      <c r="J454" s="1">
        <v>39728</v>
      </c>
      <c r="K454">
        <f t="shared" si="7"/>
        <v>2008</v>
      </c>
      <c r="L454">
        <f>MONTH(TBL[[#This Row],[Hire Date]])</f>
        <v>10</v>
      </c>
      <c r="M454" s="7">
        <v>170221</v>
      </c>
      <c r="N454" s="8">
        <v>0.15</v>
      </c>
      <c r="O454" t="s">
        <v>52</v>
      </c>
      <c r="P454" t="s">
        <v>81</v>
      </c>
      <c r="Q454" s="1" t="s">
        <v>21</v>
      </c>
    </row>
    <row r="455" spans="1:17" x14ac:dyDescent="0.35">
      <c r="A455" t="s">
        <v>252</v>
      </c>
      <c r="B455" t="s">
        <v>1133</v>
      </c>
      <c r="C455" t="s">
        <v>56</v>
      </c>
      <c r="D455" t="s">
        <v>27</v>
      </c>
      <c r="E455" t="s">
        <v>16</v>
      </c>
      <c r="F455" t="s">
        <v>17</v>
      </c>
      <c r="G455" t="s">
        <v>18</v>
      </c>
      <c r="H455">
        <v>42</v>
      </c>
      <c r="I455" t="str">
        <f>IF(TBL[[#This Row],[Age]]&gt;=60, "Old", IF(TBL[[#This Row],[Age]]&gt;=30, "Adult", "Young"))</f>
        <v>Adult</v>
      </c>
      <c r="J455" s="1">
        <v>38777</v>
      </c>
      <c r="K455">
        <f t="shared" si="7"/>
        <v>2006</v>
      </c>
      <c r="L455">
        <f>MONTH(TBL[[#This Row],[Hire Date]])</f>
        <v>3</v>
      </c>
      <c r="M455" s="7">
        <v>97433</v>
      </c>
      <c r="N455" s="8">
        <v>0.05</v>
      </c>
      <c r="O455" t="s">
        <v>19</v>
      </c>
      <c r="P455" t="s">
        <v>63</v>
      </c>
      <c r="Q455" s="1">
        <v>42224</v>
      </c>
    </row>
    <row r="456" spans="1:17" x14ac:dyDescent="0.35">
      <c r="A456" t="s">
        <v>1134</v>
      </c>
      <c r="B456" t="s">
        <v>1135</v>
      </c>
      <c r="C456" t="s">
        <v>94</v>
      </c>
      <c r="D456" t="s">
        <v>50</v>
      </c>
      <c r="E456" t="s">
        <v>36</v>
      </c>
      <c r="F456" t="s">
        <v>28</v>
      </c>
      <c r="G456" t="s">
        <v>24</v>
      </c>
      <c r="H456">
        <v>35</v>
      </c>
      <c r="I456" t="str">
        <f>IF(TBL[[#This Row],[Age]]&gt;=60, "Old", IF(TBL[[#This Row],[Age]]&gt;=30, "Adult", "Young"))</f>
        <v>Adult</v>
      </c>
      <c r="J456" s="1">
        <v>41516</v>
      </c>
      <c r="K456">
        <f t="shared" si="7"/>
        <v>2013</v>
      </c>
      <c r="L456">
        <f>MONTH(TBL[[#This Row],[Hire Date]])</f>
        <v>8</v>
      </c>
      <c r="M456" s="7">
        <v>59646</v>
      </c>
      <c r="N456" s="8">
        <v>0</v>
      </c>
      <c r="O456" t="s">
        <v>33</v>
      </c>
      <c r="P456" t="s">
        <v>74</v>
      </c>
      <c r="Q456" s="1" t="s">
        <v>21</v>
      </c>
    </row>
    <row r="457" spans="1:17" x14ac:dyDescent="0.35">
      <c r="A457" t="s">
        <v>37</v>
      </c>
      <c r="B457" t="s">
        <v>1136</v>
      </c>
      <c r="C457" t="s">
        <v>40</v>
      </c>
      <c r="D457" t="s">
        <v>31</v>
      </c>
      <c r="E457" t="s">
        <v>44</v>
      </c>
      <c r="F457" t="s">
        <v>28</v>
      </c>
      <c r="G457" t="s">
        <v>24</v>
      </c>
      <c r="H457">
        <v>64</v>
      </c>
      <c r="I457" t="str">
        <f>IF(TBL[[#This Row],[Age]]&gt;=60, "Old", IF(TBL[[#This Row],[Age]]&gt;=30, "Adult", "Young"))</f>
        <v>Old</v>
      </c>
      <c r="J457" s="1">
        <v>34940</v>
      </c>
      <c r="K457">
        <f t="shared" si="7"/>
        <v>1995</v>
      </c>
      <c r="L457">
        <f>MONTH(TBL[[#This Row],[Hire Date]])</f>
        <v>8</v>
      </c>
      <c r="M457" s="7">
        <v>158787</v>
      </c>
      <c r="N457" s="8">
        <v>0.18</v>
      </c>
      <c r="O457" t="s">
        <v>33</v>
      </c>
      <c r="P457" t="s">
        <v>34</v>
      </c>
      <c r="Q457" s="1" t="s">
        <v>21</v>
      </c>
    </row>
    <row r="458" spans="1:17" x14ac:dyDescent="0.35">
      <c r="A458" t="s">
        <v>150</v>
      </c>
      <c r="B458" t="s">
        <v>286</v>
      </c>
      <c r="C458" t="s">
        <v>84</v>
      </c>
      <c r="D458" t="s">
        <v>31</v>
      </c>
      <c r="E458" t="s">
        <v>16</v>
      </c>
      <c r="F458" t="s">
        <v>28</v>
      </c>
      <c r="G458" t="s">
        <v>24</v>
      </c>
      <c r="H458">
        <v>55</v>
      </c>
      <c r="I458" t="str">
        <f>IF(TBL[[#This Row],[Age]]&gt;=60, "Old", IF(TBL[[#This Row],[Age]]&gt;=30, "Adult", "Young"))</f>
        <v>Adult</v>
      </c>
      <c r="J458" s="1">
        <v>43219</v>
      </c>
      <c r="K458">
        <f t="shared" si="7"/>
        <v>2018</v>
      </c>
      <c r="L458">
        <f>MONTH(TBL[[#This Row],[Hire Date]])</f>
        <v>4</v>
      </c>
      <c r="M458" s="7">
        <v>83378</v>
      </c>
      <c r="N458" s="8">
        <v>0</v>
      </c>
      <c r="O458" t="s">
        <v>33</v>
      </c>
      <c r="P458" t="s">
        <v>60</v>
      </c>
      <c r="Q458" s="1" t="s">
        <v>21</v>
      </c>
    </row>
    <row r="459" spans="1:17" x14ac:dyDescent="0.35">
      <c r="A459" t="s">
        <v>1137</v>
      </c>
      <c r="B459" t="s">
        <v>1138</v>
      </c>
      <c r="C459" t="s">
        <v>42</v>
      </c>
      <c r="D459" t="s">
        <v>43</v>
      </c>
      <c r="E459" t="s">
        <v>32</v>
      </c>
      <c r="F459" t="s">
        <v>17</v>
      </c>
      <c r="G459" t="s">
        <v>51</v>
      </c>
      <c r="H459">
        <v>32</v>
      </c>
      <c r="I459" t="str">
        <f>IF(TBL[[#This Row],[Age]]&gt;=60, "Old", IF(TBL[[#This Row],[Age]]&gt;=30, "Adult", "Young"))</f>
        <v>Adult</v>
      </c>
      <c r="J459" s="1">
        <v>41590</v>
      </c>
      <c r="K459">
        <f t="shared" si="7"/>
        <v>2013</v>
      </c>
      <c r="L459">
        <f>MONTH(TBL[[#This Row],[Hire Date]])</f>
        <v>11</v>
      </c>
      <c r="M459" s="7">
        <v>88895</v>
      </c>
      <c r="N459" s="8">
        <v>0</v>
      </c>
      <c r="O459" t="s">
        <v>19</v>
      </c>
      <c r="P459" t="s">
        <v>20</v>
      </c>
      <c r="Q459" s="1" t="s">
        <v>21</v>
      </c>
    </row>
    <row r="460" spans="1:17" x14ac:dyDescent="0.35">
      <c r="A460" t="s">
        <v>103</v>
      </c>
      <c r="B460" t="s">
        <v>1139</v>
      </c>
      <c r="C460" t="s">
        <v>40</v>
      </c>
      <c r="D460" t="s">
        <v>43</v>
      </c>
      <c r="E460" t="s">
        <v>32</v>
      </c>
      <c r="F460" t="s">
        <v>28</v>
      </c>
      <c r="G460" t="s">
        <v>24</v>
      </c>
      <c r="H460">
        <v>45</v>
      </c>
      <c r="I460" t="str">
        <f>IF(TBL[[#This Row],[Age]]&gt;=60, "Old", IF(TBL[[#This Row],[Age]]&gt;=30, "Adult", "Young"))</f>
        <v>Adult</v>
      </c>
      <c r="J460" s="1">
        <v>38332</v>
      </c>
      <c r="K460">
        <f t="shared" si="7"/>
        <v>2004</v>
      </c>
      <c r="L460">
        <f>MONTH(TBL[[#This Row],[Hire Date]])</f>
        <v>12</v>
      </c>
      <c r="M460" s="7">
        <v>168846</v>
      </c>
      <c r="N460" s="8">
        <v>0.24</v>
      </c>
      <c r="O460" t="s">
        <v>33</v>
      </c>
      <c r="P460" t="s">
        <v>80</v>
      </c>
      <c r="Q460" s="1" t="s">
        <v>21</v>
      </c>
    </row>
    <row r="461" spans="1:17" x14ac:dyDescent="0.35">
      <c r="A461" t="s">
        <v>1140</v>
      </c>
      <c r="B461" t="s">
        <v>1141</v>
      </c>
      <c r="C461" t="s">
        <v>83</v>
      </c>
      <c r="D461" t="s">
        <v>23</v>
      </c>
      <c r="E461" t="s">
        <v>16</v>
      </c>
      <c r="F461" t="s">
        <v>28</v>
      </c>
      <c r="G461" t="s">
        <v>24</v>
      </c>
      <c r="H461">
        <v>35</v>
      </c>
      <c r="I461" t="str">
        <f>IF(TBL[[#This Row],[Age]]&gt;=60, "Old", IF(TBL[[#This Row],[Age]]&gt;=30, "Adult", "Young"))</f>
        <v>Adult</v>
      </c>
      <c r="J461" s="1">
        <v>40596</v>
      </c>
      <c r="K461">
        <f t="shared" si="7"/>
        <v>2011</v>
      </c>
      <c r="L461">
        <f>MONTH(TBL[[#This Row],[Hire Date]])</f>
        <v>2</v>
      </c>
      <c r="M461" s="7">
        <v>43336</v>
      </c>
      <c r="N461" s="8">
        <v>0</v>
      </c>
      <c r="O461" t="s">
        <v>19</v>
      </c>
      <c r="P461" t="s">
        <v>25</v>
      </c>
      <c r="Q461" s="1">
        <v>44024</v>
      </c>
    </row>
    <row r="462" spans="1:17" x14ac:dyDescent="0.35">
      <c r="A462" t="s">
        <v>1142</v>
      </c>
      <c r="B462" t="s">
        <v>1143</v>
      </c>
      <c r="C462" t="s">
        <v>61</v>
      </c>
      <c r="D462" t="s">
        <v>23</v>
      </c>
      <c r="E462" t="s">
        <v>32</v>
      </c>
      <c r="F462" t="s">
        <v>28</v>
      </c>
      <c r="G462" t="s">
        <v>51</v>
      </c>
      <c r="H462">
        <v>38</v>
      </c>
      <c r="I462" t="str">
        <f>IF(TBL[[#This Row],[Age]]&gt;=60, "Old", IF(TBL[[#This Row],[Age]]&gt;=30, "Adult", "Young"))</f>
        <v>Adult</v>
      </c>
      <c r="J462" s="1">
        <v>40083</v>
      </c>
      <c r="K462">
        <f t="shared" si="7"/>
        <v>2009</v>
      </c>
      <c r="L462">
        <f>MONTH(TBL[[#This Row],[Hire Date]])</f>
        <v>9</v>
      </c>
      <c r="M462" s="7">
        <v>127801</v>
      </c>
      <c r="N462" s="8">
        <v>0.15</v>
      </c>
      <c r="O462" t="s">
        <v>19</v>
      </c>
      <c r="P462" t="s">
        <v>39</v>
      </c>
      <c r="Q462" s="1" t="s">
        <v>21</v>
      </c>
    </row>
    <row r="463" spans="1:17" x14ac:dyDescent="0.35">
      <c r="A463" t="s">
        <v>1144</v>
      </c>
      <c r="B463" t="s">
        <v>1145</v>
      </c>
      <c r="C463" t="s">
        <v>89</v>
      </c>
      <c r="D463" t="s">
        <v>27</v>
      </c>
      <c r="E463" t="s">
        <v>32</v>
      </c>
      <c r="F463" t="s">
        <v>28</v>
      </c>
      <c r="G463" t="s">
        <v>47</v>
      </c>
      <c r="H463">
        <v>54</v>
      </c>
      <c r="I463" t="str">
        <f>IF(TBL[[#This Row],[Age]]&gt;=60, "Old", IF(TBL[[#This Row],[Age]]&gt;=30, "Adult", "Young"))</f>
        <v>Adult</v>
      </c>
      <c r="J463" s="1">
        <v>36617</v>
      </c>
      <c r="K463">
        <f t="shared" si="7"/>
        <v>2000</v>
      </c>
      <c r="L463">
        <f>MONTH(TBL[[#This Row],[Hire Date]])</f>
        <v>4</v>
      </c>
      <c r="M463" s="7">
        <v>76352</v>
      </c>
      <c r="N463" s="8">
        <v>0</v>
      </c>
      <c r="O463" t="s">
        <v>19</v>
      </c>
      <c r="P463" t="s">
        <v>25</v>
      </c>
      <c r="Q463" s="1" t="s">
        <v>21</v>
      </c>
    </row>
    <row r="464" spans="1:17" x14ac:dyDescent="0.35">
      <c r="A464" t="s">
        <v>1146</v>
      </c>
      <c r="B464" t="s">
        <v>1147</v>
      </c>
      <c r="C464" t="s">
        <v>14</v>
      </c>
      <c r="D464" t="s">
        <v>15</v>
      </c>
      <c r="E464" t="s">
        <v>32</v>
      </c>
      <c r="F464" t="s">
        <v>28</v>
      </c>
      <c r="G464" t="s">
        <v>18</v>
      </c>
      <c r="H464">
        <v>28</v>
      </c>
      <c r="I464" t="str">
        <f>IF(TBL[[#This Row],[Age]]&gt;=60, "Old", IF(TBL[[#This Row],[Age]]&gt;=30, "Adult", "Young"))</f>
        <v>Young</v>
      </c>
      <c r="J464" s="1">
        <v>43638</v>
      </c>
      <c r="K464">
        <f t="shared" si="7"/>
        <v>2019</v>
      </c>
      <c r="L464">
        <f>MONTH(TBL[[#This Row],[Hire Date]])</f>
        <v>6</v>
      </c>
      <c r="M464" s="7">
        <v>250767</v>
      </c>
      <c r="N464" s="8">
        <v>0.38</v>
      </c>
      <c r="O464" t="s">
        <v>19</v>
      </c>
      <c r="P464" t="s">
        <v>63</v>
      </c>
      <c r="Q464" s="1" t="s">
        <v>21</v>
      </c>
    </row>
    <row r="465" spans="1:17" x14ac:dyDescent="0.35">
      <c r="A465" t="s">
        <v>270</v>
      </c>
      <c r="B465" t="s">
        <v>1148</v>
      </c>
      <c r="C465" t="s">
        <v>14</v>
      </c>
      <c r="D465" t="s">
        <v>43</v>
      </c>
      <c r="E465" t="s">
        <v>32</v>
      </c>
      <c r="F465" t="s">
        <v>28</v>
      </c>
      <c r="G465" t="s">
        <v>18</v>
      </c>
      <c r="H465">
        <v>26</v>
      </c>
      <c r="I465" t="str">
        <f>IF(TBL[[#This Row],[Age]]&gt;=60, "Old", IF(TBL[[#This Row],[Age]]&gt;=30, "Adult", "Young"))</f>
        <v>Young</v>
      </c>
      <c r="J465" s="1">
        <v>44101</v>
      </c>
      <c r="K465">
        <f t="shared" si="7"/>
        <v>2020</v>
      </c>
      <c r="L465">
        <f>MONTH(TBL[[#This Row],[Hire Date]])</f>
        <v>9</v>
      </c>
      <c r="M465" s="7">
        <v>223055</v>
      </c>
      <c r="N465" s="8">
        <v>0.3</v>
      </c>
      <c r="O465" t="s">
        <v>19</v>
      </c>
      <c r="P465" t="s">
        <v>29</v>
      </c>
      <c r="Q465" s="1" t="s">
        <v>21</v>
      </c>
    </row>
    <row r="466" spans="1:17" x14ac:dyDescent="0.35">
      <c r="A466" t="s">
        <v>1149</v>
      </c>
      <c r="B466" t="s">
        <v>1150</v>
      </c>
      <c r="C466" t="s">
        <v>40</v>
      </c>
      <c r="D466" t="s">
        <v>31</v>
      </c>
      <c r="E466" t="s">
        <v>32</v>
      </c>
      <c r="F466" t="s">
        <v>28</v>
      </c>
      <c r="G466" t="s">
        <v>51</v>
      </c>
      <c r="H466">
        <v>45</v>
      </c>
      <c r="I466" t="str">
        <f>IF(TBL[[#This Row],[Age]]&gt;=60, "Old", IF(TBL[[#This Row],[Age]]&gt;=30, "Adult", "Young"))</f>
        <v>Adult</v>
      </c>
      <c r="J466" s="1">
        <v>39185</v>
      </c>
      <c r="K466">
        <f t="shared" si="7"/>
        <v>2007</v>
      </c>
      <c r="L466">
        <f>MONTH(TBL[[#This Row],[Hire Date]])</f>
        <v>4</v>
      </c>
      <c r="M466" s="7">
        <v>189680</v>
      </c>
      <c r="N466" s="8">
        <v>0.23</v>
      </c>
      <c r="O466" t="s">
        <v>52</v>
      </c>
      <c r="P466" t="s">
        <v>53</v>
      </c>
      <c r="Q466" s="1" t="s">
        <v>21</v>
      </c>
    </row>
    <row r="467" spans="1:17" x14ac:dyDescent="0.35">
      <c r="A467" t="s">
        <v>136</v>
      </c>
      <c r="B467" t="s">
        <v>1151</v>
      </c>
      <c r="C467" t="s">
        <v>58</v>
      </c>
      <c r="D467" t="s">
        <v>31</v>
      </c>
      <c r="E467" t="s">
        <v>36</v>
      </c>
      <c r="F467" t="s">
        <v>28</v>
      </c>
      <c r="G467" t="s">
        <v>18</v>
      </c>
      <c r="H467">
        <v>57</v>
      </c>
      <c r="I467" t="str">
        <f>IF(TBL[[#This Row],[Age]]&gt;=60, "Old", IF(TBL[[#This Row],[Age]]&gt;=30, "Adult", "Young"))</f>
        <v>Adult</v>
      </c>
      <c r="J467" s="1">
        <v>43299</v>
      </c>
      <c r="K467">
        <f t="shared" si="7"/>
        <v>2018</v>
      </c>
      <c r="L467">
        <f>MONTH(TBL[[#This Row],[Hire Date]])</f>
        <v>7</v>
      </c>
      <c r="M467" s="7">
        <v>71167</v>
      </c>
      <c r="N467" s="8">
        <v>0</v>
      </c>
      <c r="O467" t="s">
        <v>19</v>
      </c>
      <c r="P467" t="s">
        <v>29</v>
      </c>
      <c r="Q467" s="1" t="s">
        <v>21</v>
      </c>
    </row>
    <row r="468" spans="1:17" x14ac:dyDescent="0.35">
      <c r="A468" t="s">
        <v>1152</v>
      </c>
      <c r="B468" t="s">
        <v>1153</v>
      </c>
      <c r="C468" t="s">
        <v>55</v>
      </c>
      <c r="D468" t="s">
        <v>27</v>
      </c>
      <c r="E468" t="s">
        <v>44</v>
      </c>
      <c r="F468" t="s">
        <v>17</v>
      </c>
      <c r="G468" t="s">
        <v>18</v>
      </c>
      <c r="H468">
        <v>59</v>
      </c>
      <c r="I468" t="str">
        <f>IF(TBL[[#This Row],[Age]]&gt;=60, "Old", IF(TBL[[#This Row],[Age]]&gt;=30, "Adult", "Young"))</f>
        <v>Adult</v>
      </c>
      <c r="J468" s="1">
        <v>40272</v>
      </c>
      <c r="K468">
        <f t="shared" si="7"/>
        <v>2010</v>
      </c>
      <c r="L468">
        <f>MONTH(TBL[[#This Row],[Hire Date]])</f>
        <v>4</v>
      </c>
      <c r="M468" s="7">
        <v>76027</v>
      </c>
      <c r="N468" s="8">
        <v>0</v>
      </c>
      <c r="O468" t="s">
        <v>19</v>
      </c>
      <c r="P468" t="s">
        <v>63</v>
      </c>
      <c r="Q468" s="1" t="s">
        <v>21</v>
      </c>
    </row>
    <row r="469" spans="1:17" x14ac:dyDescent="0.35">
      <c r="A469" t="s">
        <v>389</v>
      </c>
      <c r="B469" t="s">
        <v>1154</v>
      </c>
      <c r="C469" t="s">
        <v>40</v>
      </c>
      <c r="D469" t="s">
        <v>31</v>
      </c>
      <c r="E469" t="s">
        <v>32</v>
      </c>
      <c r="F469" t="s">
        <v>28</v>
      </c>
      <c r="G469" t="s">
        <v>51</v>
      </c>
      <c r="H469">
        <v>48</v>
      </c>
      <c r="I469" t="str">
        <f>IF(TBL[[#This Row],[Age]]&gt;=60, "Old", IF(TBL[[#This Row],[Age]]&gt;=30, "Adult", "Young"))</f>
        <v>Adult</v>
      </c>
      <c r="J469" s="1">
        <v>43809</v>
      </c>
      <c r="K469">
        <f t="shared" si="7"/>
        <v>2019</v>
      </c>
      <c r="L469">
        <f>MONTH(TBL[[#This Row],[Hire Date]])</f>
        <v>12</v>
      </c>
      <c r="M469" s="7">
        <v>183113</v>
      </c>
      <c r="N469" s="8">
        <v>0.24</v>
      </c>
      <c r="O469" t="s">
        <v>52</v>
      </c>
      <c r="P469" t="s">
        <v>66</v>
      </c>
      <c r="Q469" s="1" t="s">
        <v>21</v>
      </c>
    </row>
    <row r="470" spans="1:17" x14ac:dyDescent="0.35">
      <c r="A470" t="s">
        <v>1155</v>
      </c>
      <c r="B470" t="s">
        <v>1156</v>
      </c>
      <c r="C470" t="s">
        <v>64</v>
      </c>
      <c r="D470" t="s">
        <v>65</v>
      </c>
      <c r="E470" t="s">
        <v>36</v>
      </c>
      <c r="F470" t="s">
        <v>28</v>
      </c>
      <c r="G470" t="s">
        <v>47</v>
      </c>
      <c r="H470">
        <v>30</v>
      </c>
      <c r="I470" t="str">
        <f>IF(TBL[[#This Row],[Age]]&gt;=60, "Old", IF(TBL[[#This Row],[Age]]&gt;=30, "Adult", "Young"))</f>
        <v>Adult</v>
      </c>
      <c r="J470" s="1">
        <v>44124</v>
      </c>
      <c r="K470">
        <f t="shared" si="7"/>
        <v>2020</v>
      </c>
      <c r="L470">
        <f>MONTH(TBL[[#This Row],[Hire Date]])</f>
        <v>10</v>
      </c>
      <c r="M470" s="7">
        <v>67753</v>
      </c>
      <c r="N470" s="8">
        <v>0</v>
      </c>
      <c r="O470" t="s">
        <v>19</v>
      </c>
      <c r="P470" t="s">
        <v>39</v>
      </c>
      <c r="Q470" s="1" t="s">
        <v>21</v>
      </c>
    </row>
    <row r="471" spans="1:17" x14ac:dyDescent="0.35">
      <c r="A471" t="s">
        <v>1157</v>
      </c>
      <c r="B471" t="s">
        <v>1158</v>
      </c>
      <c r="C471" t="s">
        <v>56</v>
      </c>
      <c r="D471" t="s">
        <v>27</v>
      </c>
      <c r="E471" t="s">
        <v>32</v>
      </c>
      <c r="F471" t="s">
        <v>28</v>
      </c>
      <c r="G471" t="s">
        <v>47</v>
      </c>
      <c r="H471">
        <v>31</v>
      </c>
      <c r="I471" t="str">
        <f>IF(TBL[[#This Row],[Age]]&gt;=60, "Old", IF(TBL[[#This Row],[Age]]&gt;=30, "Adult", "Young"))</f>
        <v>Adult</v>
      </c>
      <c r="J471" s="1">
        <v>42656</v>
      </c>
      <c r="K471">
        <f t="shared" si="7"/>
        <v>2016</v>
      </c>
      <c r="L471">
        <f>MONTH(TBL[[#This Row],[Hire Date]])</f>
        <v>10</v>
      </c>
      <c r="M471" s="7">
        <v>63744</v>
      </c>
      <c r="N471" s="8">
        <v>0.08</v>
      </c>
      <c r="O471" t="s">
        <v>19</v>
      </c>
      <c r="P471" t="s">
        <v>25</v>
      </c>
      <c r="Q471" s="1" t="s">
        <v>21</v>
      </c>
    </row>
    <row r="472" spans="1:17" x14ac:dyDescent="0.35">
      <c r="A472" t="s">
        <v>626</v>
      </c>
      <c r="B472" t="s">
        <v>1159</v>
      </c>
      <c r="C472" t="s">
        <v>30</v>
      </c>
      <c r="D472" t="s">
        <v>31</v>
      </c>
      <c r="E472" t="s">
        <v>36</v>
      </c>
      <c r="F472" t="s">
        <v>17</v>
      </c>
      <c r="G472" t="s">
        <v>24</v>
      </c>
      <c r="H472">
        <v>50</v>
      </c>
      <c r="I472" t="str">
        <f>IF(TBL[[#This Row],[Age]]&gt;=60, "Old", IF(TBL[[#This Row],[Age]]&gt;=30, "Adult", "Young"))</f>
        <v>Adult</v>
      </c>
      <c r="J472" s="1">
        <v>37446</v>
      </c>
      <c r="K472">
        <f t="shared" si="7"/>
        <v>2002</v>
      </c>
      <c r="L472">
        <f>MONTH(TBL[[#This Row],[Hire Date]])</f>
        <v>7</v>
      </c>
      <c r="M472" s="7">
        <v>92209</v>
      </c>
      <c r="N472" s="8">
        <v>0</v>
      </c>
      <c r="O472" t="s">
        <v>33</v>
      </c>
      <c r="P472" t="s">
        <v>74</v>
      </c>
      <c r="Q472" s="1" t="s">
        <v>21</v>
      </c>
    </row>
    <row r="473" spans="1:17" x14ac:dyDescent="0.35">
      <c r="A473" t="s">
        <v>1160</v>
      </c>
      <c r="B473" t="s">
        <v>1161</v>
      </c>
      <c r="C473" t="s">
        <v>61</v>
      </c>
      <c r="D473" t="s">
        <v>50</v>
      </c>
      <c r="E473" t="s">
        <v>32</v>
      </c>
      <c r="F473" t="s">
        <v>28</v>
      </c>
      <c r="G473" t="s">
        <v>47</v>
      </c>
      <c r="H473">
        <v>51</v>
      </c>
      <c r="I473" t="str">
        <f>IF(TBL[[#This Row],[Age]]&gt;=60, "Old", IF(TBL[[#This Row],[Age]]&gt;=30, "Adult", "Young"))</f>
        <v>Adult</v>
      </c>
      <c r="J473" s="1">
        <v>36770</v>
      </c>
      <c r="K473">
        <f t="shared" si="7"/>
        <v>2000</v>
      </c>
      <c r="L473">
        <f>MONTH(TBL[[#This Row],[Hire Date]])</f>
        <v>9</v>
      </c>
      <c r="M473" s="7">
        <v>157487</v>
      </c>
      <c r="N473" s="8">
        <v>0.12</v>
      </c>
      <c r="O473" t="s">
        <v>19</v>
      </c>
      <c r="P473" t="s">
        <v>39</v>
      </c>
      <c r="Q473" s="1" t="s">
        <v>21</v>
      </c>
    </row>
    <row r="474" spans="1:17" x14ac:dyDescent="0.35">
      <c r="A474" t="s">
        <v>1162</v>
      </c>
      <c r="B474" t="s">
        <v>1163</v>
      </c>
      <c r="C474" t="s">
        <v>42</v>
      </c>
      <c r="D474" t="s">
        <v>43</v>
      </c>
      <c r="E474" t="s">
        <v>16</v>
      </c>
      <c r="F474" t="s">
        <v>28</v>
      </c>
      <c r="G474" t="s">
        <v>51</v>
      </c>
      <c r="H474">
        <v>42</v>
      </c>
      <c r="I474" t="str">
        <f>IF(TBL[[#This Row],[Age]]&gt;=60, "Old", IF(TBL[[#This Row],[Age]]&gt;=30, "Adult", "Young"))</f>
        <v>Adult</v>
      </c>
      <c r="J474" s="1">
        <v>42101</v>
      </c>
      <c r="K474">
        <f t="shared" si="7"/>
        <v>2015</v>
      </c>
      <c r="L474">
        <f>MONTH(TBL[[#This Row],[Hire Date]])</f>
        <v>4</v>
      </c>
      <c r="M474" s="7">
        <v>99697</v>
      </c>
      <c r="N474" s="8">
        <v>0</v>
      </c>
      <c r="O474" t="s">
        <v>52</v>
      </c>
      <c r="P474" t="s">
        <v>66</v>
      </c>
      <c r="Q474" s="1" t="s">
        <v>21</v>
      </c>
    </row>
    <row r="475" spans="1:17" x14ac:dyDescent="0.35">
      <c r="A475" t="s">
        <v>339</v>
      </c>
      <c r="B475" t="s">
        <v>1164</v>
      </c>
      <c r="C475" t="s">
        <v>89</v>
      </c>
      <c r="D475" t="s">
        <v>27</v>
      </c>
      <c r="E475" t="s">
        <v>16</v>
      </c>
      <c r="F475" t="s">
        <v>28</v>
      </c>
      <c r="G475" t="s">
        <v>24</v>
      </c>
      <c r="H475">
        <v>45</v>
      </c>
      <c r="I475" t="str">
        <f>IF(TBL[[#This Row],[Age]]&gt;=60, "Old", IF(TBL[[#This Row],[Age]]&gt;=30, "Adult", "Young"))</f>
        <v>Adult</v>
      </c>
      <c r="J475" s="1">
        <v>40235</v>
      </c>
      <c r="K475">
        <f t="shared" si="7"/>
        <v>2010</v>
      </c>
      <c r="L475">
        <f>MONTH(TBL[[#This Row],[Hire Date]])</f>
        <v>2</v>
      </c>
      <c r="M475" s="7">
        <v>90770</v>
      </c>
      <c r="N475" s="8">
        <v>0</v>
      </c>
      <c r="O475" t="s">
        <v>19</v>
      </c>
      <c r="P475" t="s">
        <v>29</v>
      </c>
      <c r="Q475" s="1" t="s">
        <v>21</v>
      </c>
    </row>
    <row r="476" spans="1:17" x14ac:dyDescent="0.35">
      <c r="A476" t="s">
        <v>154</v>
      </c>
      <c r="B476" t="s">
        <v>1165</v>
      </c>
      <c r="C476" t="s">
        <v>68</v>
      </c>
      <c r="D476" t="s">
        <v>50</v>
      </c>
      <c r="E476" t="s">
        <v>44</v>
      </c>
      <c r="F476" t="s">
        <v>17</v>
      </c>
      <c r="G476" t="s">
        <v>24</v>
      </c>
      <c r="H476">
        <v>64</v>
      </c>
      <c r="I476" t="str">
        <f>IF(TBL[[#This Row],[Age]]&gt;=60, "Old", IF(TBL[[#This Row],[Age]]&gt;=30, "Adult", "Young"))</f>
        <v>Old</v>
      </c>
      <c r="J476" s="1">
        <v>38380</v>
      </c>
      <c r="K476">
        <f t="shared" si="7"/>
        <v>2005</v>
      </c>
      <c r="L476">
        <f>MONTH(TBL[[#This Row],[Hire Date]])</f>
        <v>1</v>
      </c>
      <c r="M476" s="7">
        <v>55369</v>
      </c>
      <c r="N476" s="8">
        <v>0</v>
      </c>
      <c r="O476" t="s">
        <v>19</v>
      </c>
      <c r="P476" t="s">
        <v>39</v>
      </c>
      <c r="Q476" s="1" t="s">
        <v>21</v>
      </c>
    </row>
    <row r="477" spans="1:17" x14ac:dyDescent="0.35">
      <c r="A477" t="s">
        <v>303</v>
      </c>
      <c r="B477" t="s">
        <v>1166</v>
      </c>
      <c r="C477" t="s">
        <v>129</v>
      </c>
      <c r="D477" t="s">
        <v>31</v>
      </c>
      <c r="E477" t="s">
        <v>44</v>
      </c>
      <c r="F477" t="s">
        <v>17</v>
      </c>
      <c r="G477" t="s">
        <v>51</v>
      </c>
      <c r="H477">
        <v>59</v>
      </c>
      <c r="I477" t="str">
        <f>IF(TBL[[#This Row],[Age]]&gt;=60, "Old", IF(TBL[[#This Row],[Age]]&gt;=30, "Adult", "Young"))</f>
        <v>Adult</v>
      </c>
      <c r="J477" s="1">
        <v>41898</v>
      </c>
      <c r="K477">
        <f t="shared" si="7"/>
        <v>2014</v>
      </c>
      <c r="L477">
        <f>MONTH(TBL[[#This Row],[Hire Date]])</f>
        <v>9</v>
      </c>
      <c r="M477" s="7">
        <v>69578</v>
      </c>
      <c r="N477" s="8">
        <v>0</v>
      </c>
      <c r="O477" t="s">
        <v>52</v>
      </c>
      <c r="P477" t="s">
        <v>66</v>
      </c>
      <c r="Q477" s="1" t="s">
        <v>21</v>
      </c>
    </row>
    <row r="478" spans="1:17" x14ac:dyDescent="0.35">
      <c r="A478" t="s">
        <v>1167</v>
      </c>
      <c r="B478" t="s">
        <v>1168</v>
      </c>
      <c r="C478" t="s">
        <v>40</v>
      </c>
      <c r="D478" t="s">
        <v>65</v>
      </c>
      <c r="E478" t="s">
        <v>44</v>
      </c>
      <c r="F478" t="s">
        <v>28</v>
      </c>
      <c r="G478" t="s">
        <v>18</v>
      </c>
      <c r="H478">
        <v>41</v>
      </c>
      <c r="I478" t="str">
        <f>IF(TBL[[#This Row],[Age]]&gt;=60, "Old", IF(TBL[[#This Row],[Age]]&gt;=30, "Adult", "Young"))</f>
        <v>Adult</v>
      </c>
      <c r="J478" s="1">
        <v>41429</v>
      </c>
      <c r="K478">
        <f t="shared" si="7"/>
        <v>2013</v>
      </c>
      <c r="L478">
        <f>MONTH(TBL[[#This Row],[Hire Date]])</f>
        <v>6</v>
      </c>
      <c r="M478" s="7">
        <v>167526</v>
      </c>
      <c r="N478" s="8">
        <v>0.26</v>
      </c>
      <c r="O478" t="s">
        <v>19</v>
      </c>
      <c r="P478" t="s">
        <v>45</v>
      </c>
      <c r="Q478" s="1" t="s">
        <v>21</v>
      </c>
    </row>
    <row r="479" spans="1:17" x14ac:dyDescent="0.35">
      <c r="A479" t="s">
        <v>107</v>
      </c>
      <c r="B479" t="s">
        <v>1169</v>
      </c>
      <c r="C479" t="s">
        <v>129</v>
      </c>
      <c r="D479" t="s">
        <v>31</v>
      </c>
      <c r="E479" t="s">
        <v>44</v>
      </c>
      <c r="F479" t="s">
        <v>17</v>
      </c>
      <c r="G479" t="s">
        <v>51</v>
      </c>
      <c r="H479">
        <v>42</v>
      </c>
      <c r="I479" t="str">
        <f>IF(TBL[[#This Row],[Age]]&gt;=60, "Old", IF(TBL[[#This Row],[Age]]&gt;=30, "Adult", "Young"))</f>
        <v>Adult</v>
      </c>
      <c r="J479" s="1">
        <v>44232</v>
      </c>
      <c r="K479">
        <f t="shared" si="7"/>
        <v>2021</v>
      </c>
      <c r="L479">
        <f>MONTH(TBL[[#This Row],[Hire Date]])</f>
        <v>2</v>
      </c>
      <c r="M479" s="7">
        <v>65507</v>
      </c>
      <c r="N479" s="8">
        <v>0</v>
      </c>
      <c r="O479" t="s">
        <v>52</v>
      </c>
      <c r="P479" t="s">
        <v>81</v>
      </c>
      <c r="Q479" s="1" t="s">
        <v>21</v>
      </c>
    </row>
    <row r="480" spans="1:17" x14ac:dyDescent="0.35">
      <c r="A480" t="s">
        <v>1170</v>
      </c>
      <c r="B480" t="s">
        <v>1171</v>
      </c>
      <c r="C480" t="s">
        <v>62</v>
      </c>
      <c r="D480" t="s">
        <v>15</v>
      </c>
      <c r="E480" t="s">
        <v>16</v>
      </c>
      <c r="F480" t="s">
        <v>28</v>
      </c>
      <c r="G480" t="s">
        <v>51</v>
      </c>
      <c r="H480">
        <v>54</v>
      </c>
      <c r="I480" t="str">
        <f>IF(TBL[[#This Row],[Age]]&gt;=60, "Old", IF(TBL[[#This Row],[Age]]&gt;=30, "Adult", "Young"))</f>
        <v>Adult</v>
      </c>
      <c r="J480" s="1">
        <v>35913</v>
      </c>
      <c r="K480">
        <f t="shared" si="7"/>
        <v>1998</v>
      </c>
      <c r="L480">
        <f>MONTH(TBL[[#This Row],[Hire Date]])</f>
        <v>4</v>
      </c>
      <c r="M480" s="7">
        <v>108268</v>
      </c>
      <c r="N480" s="8">
        <v>0.09</v>
      </c>
      <c r="O480" t="s">
        <v>52</v>
      </c>
      <c r="P480" t="s">
        <v>53</v>
      </c>
      <c r="Q480" s="1">
        <v>38122</v>
      </c>
    </row>
    <row r="481" spans="1:17" x14ac:dyDescent="0.35">
      <c r="A481" t="s">
        <v>188</v>
      </c>
      <c r="B481" t="s">
        <v>1172</v>
      </c>
      <c r="C481" t="s">
        <v>55</v>
      </c>
      <c r="D481" t="s">
        <v>27</v>
      </c>
      <c r="E481" t="s">
        <v>16</v>
      </c>
      <c r="F481" t="s">
        <v>28</v>
      </c>
      <c r="G481" t="s">
        <v>24</v>
      </c>
      <c r="H481">
        <v>37</v>
      </c>
      <c r="I481" t="str">
        <f>IF(TBL[[#This Row],[Age]]&gt;=60, "Old", IF(TBL[[#This Row],[Age]]&gt;=30, "Adult", "Young"))</f>
        <v>Adult</v>
      </c>
      <c r="J481" s="1">
        <v>42405</v>
      </c>
      <c r="K481">
        <f t="shared" si="7"/>
        <v>2016</v>
      </c>
      <c r="L481">
        <f>MONTH(TBL[[#This Row],[Hire Date]])</f>
        <v>2</v>
      </c>
      <c r="M481" s="7">
        <v>80055</v>
      </c>
      <c r="N481" s="8">
        <v>0</v>
      </c>
      <c r="O481" t="s">
        <v>33</v>
      </c>
      <c r="P481" t="s">
        <v>60</v>
      </c>
      <c r="Q481" s="1" t="s">
        <v>21</v>
      </c>
    </row>
    <row r="482" spans="1:17" x14ac:dyDescent="0.35">
      <c r="A482" t="s">
        <v>1173</v>
      </c>
      <c r="B482" t="s">
        <v>1174</v>
      </c>
      <c r="C482" t="s">
        <v>42</v>
      </c>
      <c r="D482" t="s">
        <v>50</v>
      </c>
      <c r="E482" t="s">
        <v>16</v>
      </c>
      <c r="F482" t="s">
        <v>28</v>
      </c>
      <c r="G482" t="s">
        <v>51</v>
      </c>
      <c r="H482">
        <v>58</v>
      </c>
      <c r="I482" t="str">
        <f>IF(TBL[[#This Row],[Age]]&gt;=60, "Old", IF(TBL[[#This Row],[Age]]&gt;=30, "Adult", "Young"))</f>
        <v>Adult</v>
      </c>
      <c r="J482" s="1">
        <v>39930</v>
      </c>
      <c r="K482">
        <f t="shared" si="7"/>
        <v>2009</v>
      </c>
      <c r="L482">
        <f>MONTH(TBL[[#This Row],[Hire Date]])</f>
        <v>4</v>
      </c>
      <c r="M482" s="7">
        <v>76802</v>
      </c>
      <c r="N482" s="8">
        <v>0</v>
      </c>
      <c r="O482" t="s">
        <v>52</v>
      </c>
      <c r="P482" t="s">
        <v>81</v>
      </c>
      <c r="Q482" s="1" t="s">
        <v>21</v>
      </c>
    </row>
    <row r="483" spans="1:17" x14ac:dyDescent="0.35">
      <c r="A483" t="s">
        <v>128</v>
      </c>
      <c r="B483" t="s">
        <v>1175</v>
      </c>
      <c r="C483" t="s">
        <v>14</v>
      </c>
      <c r="D483" t="s">
        <v>50</v>
      </c>
      <c r="E483" t="s">
        <v>44</v>
      </c>
      <c r="F483" t="s">
        <v>28</v>
      </c>
      <c r="G483" t="s">
        <v>24</v>
      </c>
      <c r="H483">
        <v>47</v>
      </c>
      <c r="I483" t="str">
        <f>IF(TBL[[#This Row],[Age]]&gt;=60, "Old", IF(TBL[[#This Row],[Age]]&gt;=30, "Adult", "Young"))</f>
        <v>Adult</v>
      </c>
      <c r="J483" s="1">
        <v>42696</v>
      </c>
      <c r="K483">
        <f t="shared" si="7"/>
        <v>2016</v>
      </c>
      <c r="L483">
        <f>MONTH(TBL[[#This Row],[Hire Date]])</f>
        <v>11</v>
      </c>
      <c r="M483" s="7">
        <v>253249</v>
      </c>
      <c r="N483" s="8">
        <v>0.31</v>
      </c>
      <c r="O483" t="s">
        <v>19</v>
      </c>
      <c r="P483" t="s">
        <v>25</v>
      </c>
      <c r="Q483" s="1" t="s">
        <v>21</v>
      </c>
    </row>
    <row r="484" spans="1:17" x14ac:dyDescent="0.35">
      <c r="A484" t="s">
        <v>481</v>
      </c>
      <c r="B484" t="s">
        <v>1176</v>
      </c>
      <c r="C484" t="s">
        <v>77</v>
      </c>
      <c r="D484" t="s">
        <v>23</v>
      </c>
      <c r="E484" t="s">
        <v>16</v>
      </c>
      <c r="F484" t="s">
        <v>17</v>
      </c>
      <c r="G484" t="s">
        <v>24</v>
      </c>
      <c r="H484">
        <v>60</v>
      </c>
      <c r="I484" t="str">
        <f>IF(TBL[[#This Row],[Age]]&gt;=60, "Old", IF(TBL[[#This Row],[Age]]&gt;=30, "Adult", "Young"))</f>
        <v>Old</v>
      </c>
      <c r="J484" s="1">
        <v>38667</v>
      </c>
      <c r="K484">
        <f t="shared" si="7"/>
        <v>2005</v>
      </c>
      <c r="L484">
        <f>MONTH(TBL[[#This Row],[Hire Date]])</f>
        <v>11</v>
      </c>
      <c r="M484" s="7">
        <v>78388</v>
      </c>
      <c r="N484" s="8">
        <v>0</v>
      </c>
      <c r="O484" t="s">
        <v>33</v>
      </c>
      <c r="P484" t="s">
        <v>80</v>
      </c>
      <c r="Q484" s="1" t="s">
        <v>21</v>
      </c>
    </row>
    <row r="485" spans="1:17" x14ac:dyDescent="0.35">
      <c r="A485" t="s">
        <v>785</v>
      </c>
      <c r="B485" t="s">
        <v>1177</v>
      </c>
      <c r="C485" t="s">
        <v>14</v>
      </c>
      <c r="D485" t="s">
        <v>27</v>
      </c>
      <c r="E485" t="s">
        <v>32</v>
      </c>
      <c r="F485" t="s">
        <v>28</v>
      </c>
      <c r="G485" t="s">
        <v>18</v>
      </c>
      <c r="H485">
        <v>38</v>
      </c>
      <c r="I485" t="str">
        <f>IF(TBL[[#This Row],[Age]]&gt;=60, "Old", IF(TBL[[#This Row],[Age]]&gt;=30, "Adult", "Young"))</f>
        <v>Adult</v>
      </c>
      <c r="J485" s="1">
        <v>42543</v>
      </c>
      <c r="K485">
        <f t="shared" si="7"/>
        <v>2016</v>
      </c>
      <c r="L485">
        <f>MONTH(TBL[[#This Row],[Hire Date]])</f>
        <v>6</v>
      </c>
      <c r="M485" s="7">
        <v>249870</v>
      </c>
      <c r="N485" s="8">
        <v>0.34</v>
      </c>
      <c r="O485" t="s">
        <v>19</v>
      </c>
      <c r="P485" t="s">
        <v>20</v>
      </c>
      <c r="Q485" s="1" t="s">
        <v>21</v>
      </c>
    </row>
    <row r="486" spans="1:17" x14ac:dyDescent="0.35">
      <c r="A486" t="s">
        <v>952</v>
      </c>
      <c r="B486" t="s">
        <v>1178</v>
      </c>
      <c r="C486" t="s">
        <v>61</v>
      </c>
      <c r="D486" t="s">
        <v>43</v>
      </c>
      <c r="E486" t="s">
        <v>36</v>
      </c>
      <c r="F486" t="s">
        <v>28</v>
      </c>
      <c r="G486" t="s">
        <v>24</v>
      </c>
      <c r="H486">
        <v>63</v>
      </c>
      <c r="I486" t="str">
        <f>IF(TBL[[#This Row],[Age]]&gt;=60, "Old", IF(TBL[[#This Row],[Age]]&gt;=30, "Adult", "Young"))</f>
        <v>Old</v>
      </c>
      <c r="J486" s="1">
        <v>42064</v>
      </c>
      <c r="K486">
        <f t="shared" si="7"/>
        <v>2015</v>
      </c>
      <c r="L486">
        <f>MONTH(TBL[[#This Row],[Hire Date]])</f>
        <v>3</v>
      </c>
      <c r="M486" s="7">
        <v>148321</v>
      </c>
      <c r="N486" s="8">
        <v>0.15</v>
      </c>
      <c r="O486" t="s">
        <v>33</v>
      </c>
      <c r="P486" t="s">
        <v>60</v>
      </c>
      <c r="Q486" s="1" t="s">
        <v>21</v>
      </c>
    </row>
    <row r="487" spans="1:17" x14ac:dyDescent="0.35">
      <c r="A487" t="s">
        <v>1179</v>
      </c>
      <c r="B487" t="s">
        <v>1180</v>
      </c>
      <c r="C487" t="s">
        <v>82</v>
      </c>
      <c r="D487" t="s">
        <v>27</v>
      </c>
      <c r="E487" t="s">
        <v>32</v>
      </c>
      <c r="F487" t="s">
        <v>17</v>
      </c>
      <c r="G487" t="s">
        <v>24</v>
      </c>
      <c r="H487">
        <v>60</v>
      </c>
      <c r="I487" t="str">
        <f>IF(TBL[[#This Row],[Age]]&gt;=60, "Old", IF(TBL[[#This Row],[Age]]&gt;=30, "Adult", "Young"))</f>
        <v>Old</v>
      </c>
      <c r="J487" s="1">
        <v>38027</v>
      </c>
      <c r="K487">
        <f t="shared" si="7"/>
        <v>2004</v>
      </c>
      <c r="L487">
        <f>MONTH(TBL[[#This Row],[Hire Date]])</f>
        <v>2</v>
      </c>
      <c r="M487" s="7">
        <v>90258</v>
      </c>
      <c r="N487" s="8">
        <v>0</v>
      </c>
      <c r="O487" t="s">
        <v>33</v>
      </c>
      <c r="P487" t="s">
        <v>80</v>
      </c>
      <c r="Q487" s="1" t="s">
        <v>21</v>
      </c>
    </row>
    <row r="488" spans="1:17" x14ac:dyDescent="0.35">
      <c r="A488" t="s">
        <v>1181</v>
      </c>
      <c r="B488" t="s">
        <v>1182</v>
      </c>
      <c r="C488" t="s">
        <v>98</v>
      </c>
      <c r="D488" t="s">
        <v>27</v>
      </c>
      <c r="E488" t="s">
        <v>36</v>
      </c>
      <c r="F488" t="s">
        <v>17</v>
      </c>
      <c r="G488" t="s">
        <v>47</v>
      </c>
      <c r="H488">
        <v>42</v>
      </c>
      <c r="I488" t="str">
        <f>IF(TBL[[#This Row],[Age]]&gt;=60, "Old", IF(TBL[[#This Row],[Age]]&gt;=30, "Adult", "Young"))</f>
        <v>Adult</v>
      </c>
      <c r="J488" s="1">
        <v>40593</v>
      </c>
      <c r="K488">
        <f t="shared" si="7"/>
        <v>2011</v>
      </c>
      <c r="L488">
        <f>MONTH(TBL[[#This Row],[Hire Date]])</f>
        <v>2</v>
      </c>
      <c r="M488" s="7">
        <v>72486</v>
      </c>
      <c r="N488" s="8">
        <v>0</v>
      </c>
      <c r="O488" t="s">
        <v>19</v>
      </c>
      <c r="P488" t="s">
        <v>63</v>
      </c>
      <c r="Q488" s="1" t="s">
        <v>21</v>
      </c>
    </row>
    <row r="489" spans="1:17" x14ac:dyDescent="0.35">
      <c r="A489" t="s">
        <v>1183</v>
      </c>
      <c r="B489" t="s">
        <v>1184</v>
      </c>
      <c r="C489" t="s">
        <v>42</v>
      </c>
      <c r="D489" t="s">
        <v>15</v>
      </c>
      <c r="E489" t="s">
        <v>32</v>
      </c>
      <c r="F489" t="s">
        <v>28</v>
      </c>
      <c r="G489" t="s">
        <v>51</v>
      </c>
      <c r="H489">
        <v>34</v>
      </c>
      <c r="I489" t="str">
        <f>IF(TBL[[#This Row],[Age]]&gt;=60, "Old", IF(TBL[[#This Row],[Age]]&gt;=30, "Adult", "Young"))</f>
        <v>Adult</v>
      </c>
      <c r="J489" s="1">
        <v>41886</v>
      </c>
      <c r="K489">
        <f t="shared" si="7"/>
        <v>2014</v>
      </c>
      <c r="L489">
        <f>MONTH(TBL[[#This Row],[Hire Date]])</f>
        <v>9</v>
      </c>
      <c r="M489" s="7">
        <v>95499</v>
      </c>
      <c r="N489" s="8">
        <v>0</v>
      </c>
      <c r="O489" t="s">
        <v>52</v>
      </c>
      <c r="P489" t="s">
        <v>53</v>
      </c>
      <c r="Q489" s="1">
        <v>42958</v>
      </c>
    </row>
    <row r="490" spans="1:17" x14ac:dyDescent="0.35">
      <c r="A490" t="s">
        <v>1185</v>
      </c>
      <c r="B490" t="s">
        <v>386</v>
      </c>
      <c r="C490" t="s">
        <v>42</v>
      </c>
      <c r="D490" t="s">
        <v>65</v>
      </c>
      <c r="E490" t="s">
        <v>16</v>
      </c>
      <c r="F490" t="s">
        <v>17</v>
      </c>
      <c r="G490" t="s">
        <v>51</v>
      </c>
      <c r="H490">
        <v>53</v>
      </c>
      <c r="I490" t="str">
        <f>IF(TBL[[#This Row],[Age]]&gt;=60, "Old", IF(TBL[[#This Row],[Age]]&gt;=30, "Adult", "Young"))</f>
        <v>Adult</v>
      </c>
      <c r="J490" s="1">
        <v>38344</v>
      </c>
      <c r="K490">
        <f t="shared" si="7"/>
        <v>2004</v>
      </c>
      <c r="L490">
        <f>MONTH(TBL[[#This Row],[Hire Date]])</f>
        <v>12</v>
      </c>
      <c r="M490" s="7">
        <v>90212</v>
      </c>
      <c r="N490" s="8">
        <v>0</v>
      </c>
      <c r="O490" t="s">
        <v>52</v>
      </c>
      <c r="P490" t="s">
        <v>53</v>
      </c>
      <c r="Q490" s="1" t="s">
        <v>21</v>
      </c>
    </row>
    <row r="491" spans="1:17" x14ac:dyDescent="0.35">
      <c r="A491" t="s">
        <v>137</v>
      </c>
      <c r="B491" t="s">
        <v>1186</v>
      </c>
      <c r="C491" t="s">
        <v>14</v>
      </c>
      <c r="D491" t="s">
        <v>43</v>
      </c>
      <c r="E491" t="s">
        <v>16</v>
      </c>
      <c r="F491" t="s">
        <v>28</v>
      </c>
      <c r="G491" t="s">
        <v>24</v>
      </c>
      <c r="H491">
        <v>39</v>
      </c>
      <c r="I491" t="str">
        <f>IF(TBL[[#This Row],[Age]]&gt;=60, "Old", IF(TBL[[#This Row],[Age]]&gt;=30, "Adult", "Young"))</f>
        <v>Adult</v>
      </c>
      <c r="J491" s="1">
        <v>43804</v>
      </c>
      <c r="K491">
        <f t="shared" si="7"/>
        <v>2019</v>
      </c>
      <c r="L491">
        <f>MONTH(TBL[[#This Row],[Hire Date]])</f>
        <v>12</v>
      </c>
      <c r="M491" s="7">
        <v>254057</v>
      </c>
      <c r="N491" s="8">
        <v>0.39</v>
      </c>
      <c r="O491" t="s">
        <v>33</v>
      </c>
      <c r="P491" t="s">
        <v>74</v>
      </c>
      <c r="Q491" s="1" t="s">
        <v>21</v>
      </c>
    </row>
    <row r="492" spans="1:17" x14ac:dyDescent="0.35">
      <c r="A492" t="s">
        <v>1187</v>
      </c>
      <c r="B492" t="s">
        <v>1188</v>
      </c>
      <c r="C492" t="s">
        <v>83</v>
      </c>
      <c r="D492" t="s">
        <v>23</v>
      </c>
      <c r="E492" t="s">
        <v>36</v>
      </c>
      <c r="F492" t="s">
        <v>17</v>
      </c>
      <c r="G492" t="s">
        <v>51</v>
      </c>
      <c r="H492">
        <v>58</v>
      </c>
      <c r="I492" t="str">
        <f>IF(TBL[[#This Row],[Age]]&gt;=60, "Old", IF(TBL[[#This Row],[Age]]&gt;=30, "Adult", "Young"))</f>
        <v>Adult</v>
      </c>
      <c r="J492" s="1">
        <v>40463</v>
      </c>
      <c r="K492">
        <f t="shared" si="7"/>
        <v>2010</v>
      </c>
      <c r="L492">
        <f>MONTH(TBL[[#This Row],[Hire Date]])</f>
        <v>10</v>
      </c>
      <c r="M492" s="7">
        <v>43001</v>
      </c>
      <c r="N492" s="8">
        <v>0</v>
      </c>
      <c r="O492" t="s">
        <v>19</v>
      </c>
      <c r="P492" t="s">
        <v>25</v>
      </c>
      <c r="Q492" s="1" t="s">
        <v>21</v>
      </c>
    </row>
    <row r="493" spans="1:17" x14ac:dyDescent="0.35">
      <c r="A493" t="s">
        <v>375</v>
      </c>
      <c r="B493" t="s">
        <v>1189</v>
      </c>
      <c r="C493" t="s">
        <v>56</v>
      </c>
      <c r="D493" t="s">
        <v>27</v>
      </c>
      <c r="E493" t="s">
        <v>36</v>
      </c>
      <c r="F493" t="s">
        <v>28</v>
      </c>
      <c r="G493" t="s">
        <v>51</v>
      </c>
      <c r="H493">
        <v>60</v>
      </c>
      <c r="I493" t="str">
        <f>IF(TBL[[#This Row],[Age]]&gt;=60, "Old", IF(TBL[[#This Row],[Age]]&gt;=30, "Adult", "Young"))</f>
        <v>Old</v>
      </c>
      <c r="J493" s="1">
        <v>36010</v>
      </c>
      <c r="K493">
        <f t="shared" si="7"/>
        <v>1998</v>
      </c>
      <c r="L493">
        <f>MONTH(TBL[[#This Row],[Hire Date]])</f>
        <v>8</v>
      </c>
      <c r="M493" s="7">
        <v>85120</v>
      </c>
      <c r="N493" s="8">
        <v>0.09</v>
      </c>
      <c r="O493" t="s">
        <v>19</v>
      </c>
      <c r="P493" t="s">
        <v>63</v>
      </c>
      <c r="Q493" s="1" t="s">
        <v>21</v>
      </c>
    </row>
    <row r="494" spans="1:17" x14ac:dyDescent="0.35">
      <c r="A494" t="s">
        <v>1190</v>
      </c>
      <c r="B494" t="s">
        <v>1191</v>
      </c>
      <c r="C494" t="s">
        <v>83</v>
      </c>
      <c r="D494" t="s">
        <v>23</v>
      </c>
      <c r="E494" t="s">
        <v>36</v>
      </c>
      <c r="F494" t="s">
        <v>28</v>
      </c>
      <c r="G494" t="s">
        <v>51</v>
      </c>
      <c r="H494">
        <v>34</v>
      </c>
      <c r="I494" t="str">
        <f>IF(TBL[[#This Row],[Age]]&gt;=60, "Old", IF(TBL[[#This Row],[Age]]&gt;=30, "Adult", "Young"))</f>
        <v>Adult</v>
      </c>
      <c r="J494" s="1">
        <v>42219</v>
      </c>
      <c r="K494">
        <f t="shared" si="7"/>
        <v>2015</v>
      </c>
      <c r="L494">
        <f>MONTH(TBL[[#This Row],[Hire Date]])</f>
        <v>8</v>
      </c>
      <c r="M494" s="7">
        <v>52200</v>
      </c>
      <c r="N494" s="8">
        <v>0</v>
      </c>
      <c r="O494" t="s">
        <v>19</v>
      </c>
      <c r="P494" t="s">
        <v>29</v>
      </c>
      <c r="Q494" s="1" t="s">
        <v>21</v>
      </c>
    </row>
    <row r="495" spans="1:17" x14ac:dyDescent="0.35">
      <c r="A495" t="s">
        <v>1192</v>
      </c>
      <c r="B495" t="s">
        <v>1193</v>
      </c>
      <c r="C495" t="s">
        <v>61</v>
      </c>
      <c r="D495" t="s">
        <v>23</v>
      </c>
      <c r="E495" t="s">
        <v>32</v>
      </c>
      <c r="F495" t="s">
        <v>17</v>
      </c>
      <c r="G495" t="s">
        <v>18</v>
      </c>
      <c r="H495">
        <v>60</v>
      </c>
      <c r="I495" t="str">
        <f>IF(TBL[[#This Row],[Age]]&gt;=60, "Old", IF(TBL[[#This Row],[Age]]&gt;=30, "Adult", "Young"))</f>
        <v>Old</v>
      </c>
      <c r="J495" s="1">
        <v>39739</v>
      </c>
      <c r="K495">
        <f t="shared" si="7"/>
        <v>2008</v>
      </c>
      <c r="L495">
        <f>MONTH(TBL[[#This Row],[Hire Date]])</f>
        <v>10</v>
      </c>
      <c r="M495" s="7">
        <v>150855</v>
      </c>
      <c r="N495" s="8">
        <v>0.11</v>
      </c>
      <c r="O495" t="s">
        <v>19</v>
      </c>
      <c r="P495" t="s">
        <v>39</v>
      </c>
      <c r="Q495" s="1" t="s">
        <v>21</v>
      </c>
    </row>
    <row r="496" spans="1:17" x14ac:dyDescent="0.35">
      <c r="A496" t="s">
        <v>1194</v>
      </c>
      <c r="B496" t="s">
        <v>1195</v>
      </c>
      <c r="C496" t="s">
        <v>26</v>
      </c>
      <c r="D496" t="s">
        <v>27</v>
      </c>
      <c r="E496" t="s">
        <v>36</v>
      </c>
      <c r="F496" t="s">
        <v>17</v>
      </c>
      <c r="G496" t="s">
        <v>51</v>
      </c>
      <c r="H496">
        <v>53</v>
      </c>
      <c r="I496" t="str">
        <f>IF(TBL[[#This Row],[Age]]&gt;=60, "Old", IF(TBL[[#This Row],[Age]]&gt;=30, "Adult", "Young"))</f>
        <v>Adult</v>
      </c>
      <c r="J496" s="1">
        <v>38188</v>
      </c>
      <c r="K496">
        <f t="shared" si="7"/>
        <v>2004</v>
      </c>
      <c r="L496">
        <f>MONTH(TBL[[#This Row],[Hire Date]])</f>
        <v>7</v>
      </c>
      <c r="M496" s="7">
        <v>65702</v>
      </c>
      <c r="N496" s="8">
        <v>0</v>
      </c>
      <c r="O496" t="s">
        <v>19</v>
      </c>
      <c r="P496" t="s">
        <v>29</v>
      </c>
      <c r="Q496" s="1" t="s">
        <v>21</v>
      </c>
    </row>
    <row r="497" spans="1:17" x14ac:dyDescent="0.35">
      <c r="A497" t="s">
        <v>1196</v>
      </c>
      <c r="B497" t="s">
        <v>1197</v>
      </c>
      <c r="C497" t="s">
        <v>40</v>
      </c>
      <c r="D497" t="s">
        <v>15</v>
      </c>
      <c r="E497" t="s">
        <v>32</v>
      </c>
      <c r="F497" t="s">
        <v>28</v>
      </c>
      <c r="G497" t="s">
        <v>24</v>
      </c>
      <c r="H497">
        <v>58</v>
      </c>
      <c r="I497" t="str">
        <f>IF(TBL[[#This Row],[Age]]&gt;=60, "Old", IF(TBL[[#This Row],[Age]]&gt;=30, "Adult", "Young"))</f>
        <v>Adult</v>
      </c>
      <c r="J497" s="1">
        <v>39367</v>
      </c>
      <c r="K497">
        <f t="shared" si="7"/>
        <v>2007</v>
      </c>
      <c r="L497">
        <f>MONTH(TBL[[#This Row],[Hire Date]])</f>
        <v>10</v>
      </c>
      <c r="M497" s="7">
        <v>162038</v>
      </c>
      <c r="N497" s="8">
        <v>0.24</v>
      </c>
      <c r="O497" t="s">
        <v>33</v>
      </c>
      <c r="P497" t="s">
        <v>80</v>
      </c>
      <c r="Q497" s="1" t="s">
        <v>21</v>
      </c>
    </row>
    <row r="498" spans="1:17" x14ac:dyDescent="0.35">
      <c r="A498" t="s">
        <v>1198</v>
      </c>
      <c r="B498" t="s">
        <v>1199</v>
      </c>
      <c r="C498" t="s">
        <v>61</v>
      </c>
      <c r="D498" t="s">
        <v>43</v>
      </c>
      <c r="E498" t="s">
        <v>16</v>
      </c>
      <c r="F498" t="s">
        <v>17</v>
      </c>
      <c r="G498" t="s">
        <v>24</v>
      </c>
      <c r="H498">
        <v>25</v>
      </c>
      <c r="I498" t="str">
        <f>IF(TBL[[#This Row],[Age]]&gt;=60, "Old", IF(TBL[[#This Row],[Age]]&gt;=30, "Adult", "Young"))</f>
        <v>Young</v>
      </c>
      <c r="J498" s="1">
        <v>43930</v>
      </c>
      <c r="K498">
        <f t="shared" si="7"/>
        <v>2020</v>
      </c>
      <c r="L498">
        <f>MONTH(TBL[[#This Row],[Hire Date]])</f>
        <v>4</v>
      </c>
      <c r="M498" s="7">
        <v>157057</v>
      </c>
      <c r="N498" s="8">
        <v>0.1</v>
      </c>
      <c r="O498" t="s">
        <v>19</v>
      </c>
      <c r="P498" t="s">
        <v>29</v>
      </c>
      <c r="Q498" s="1" t="s">
        <v>21</v>
      </c>
    </row>
    <row r="499" spans="1:17" x14ac:dyDescent="0.35">
      <c r="A499" t="s">
        <v>1200</v>
      </c>
      <c r="B499" t="s">
        <v>1201</v>
      </c>
      <c r="C499" t="s">
        <v>62</v>
      </c>
      <c r="D499" t="s">
        <v>27</v>
      </c>
      <c r="E499" t="s">
        <v>16</v>
      </c>
      <c r="F499" t="s">
        <v>28</v>
      </c>
      <c r="G499" t="s">
        <v>18</v>
      </c>
      <c r="H499">
        <v>46</v>
      </c>
      <c r="I499" t="str">
        <f>IF(TBL[[#This Row],[Age]]&gt;=60, "Old", IF(TBL[[#This Row],[Age]]&gt;=30, "Adult", "Young"))</f>
        <v>Adult</v>
      </c>
      <c r="J499" s="1">
        <v>44419</v>
      </c>
      <c r="K499">
        <f t="shared" si="7"/>
        <v>2021</v>
      </c>
      <c r="L499">
        <f>MONTH(TBL[[#This Row],[Hire Date]])</f>
        <v>8</v>
      </c>
      <c r="M499" s="7">
        <v>127559</v>
      </c>
      <c r="N499" s="8">
        <v>0.1</v>
      </c>
      <c r="O499" t="s">
        <v>19</v>
      </c>
      <c r="P499" t="s">
        <v>25</v>
      </c>
      <c r="Q499" s="1" t="s">
        <v>21</v>
      </c>
    </row>
    <row r="500" spans="1:17" x14ac:dyDescent="0.35">
      <c r="A500" t="s">
        <v>1202</v>
      </c>
      <c r="B500" t="s">
        <v>1203</v>
      </c>
      <c r="C500" t="s">
        <v>129</v>
      </c>
      <c r="D500" t="s">
        <v>31</v>
      </c>
      <c r="E500" t="s">
        <v>32</v>
      </c>
      <c r="F500" t="s">
        <v>17</v>
      </c>
      <c r="G500" t="s">
        <v>18</v>
      </c>
      <c r="H500">
        <v>39</v>
      </c>
      <c r="I500" t="str">
        <f>IF(TBL[[#This Row],[Age]]&gt;=60, "Old", IF(TBL[[#This Row],[Age]]&gt;=30, "Adult", "Young"))</f>
        <v>Adult</v>
      </c>
      <c r="J500" s="1">
        <v>43536</v>
      </c>
      <c r="K500">
        <f t="shared" si="7"/>
        <v>2019</v>
      </c>
      <c r="L500">
        <f>MONTH(TBL[[#This Row],[Hire Date]])</f>
        <v>3</v>
      </c>
      <c r="M500" s="7">
        <v>62644</v>
      </c>
      <c r="N500" s="8">
        <v>0</v>
      </c>
      <c r="O500" t="s">
        <v>19</v>
      </c>
      <c r="P500" t="s">
        <v>63</v>
      </c>
      <c r="Q500" s="1" t="s">
        <v>21</v>
      </c>
    </row>
    <row r="501" spans="1:17" x14ac:dyDescent="0.35">
      <c r="A501" t="s">
        <v>374</v>
      </c>
      <c r="B501" t="s">
        <v>265</v>
      </c>
      <c r="C501" t="s">
        <v>71</v>
      </c>
      <c r="D501" t="s">
        <v>27</v>
      </c>
      <c r="E501" t="s">
        <v>36</v>
      </c>
      <c r="F501" t="s">
        <v>28</v>
      </c>
      <c r="G501" t="s">
        <v>24</v>
      </c>
      <c r="H501">
        <v>50</v>
      </c>
      <c r="I501" t="str">
        <f>IF(TBL[[#This Row],[Age]]&gt;=60, "Old", IF(TBL[[#This Row],[Age]]&gt;=30, "Adult", "Young"))</f>
        <v>Adult</v>
      </c>
      <c r="J501" s="1">
        <v>36956</v>
      </c>
      <c r="K501">
        <f t="shared" si="7"/>
        <v>2001</v>
      </c>
      <c r="L501">
        <f>MONTH(TBL[[#This Row],[Hire Date]])</f>
        <v>3</v>
      </c>
      <c r="M501" s="7">
        <v>73907</v>
      </c>
      <c r="N501" s="8">
        <v>0</v>
      </c>
      <c r="O501" t="s">
        <v>33</v>
      </c>
      <c r="P501" t="s">
        <v>74</v>
      </c>
      <c r="Q501" s="1" t="s">
        <v>21</v>
      </c>
    </row>
    <row r="502" spans="1:17" x14ac:dyDescent="0.35">
      <c r="A502" t="s">
        <v>143</v>
      </c>
      <c r="B502" t="s">
        <v>1204</v>
      </c>
      <c r="C502" t="s">
        <v>42</v>
      </c>
      <c r="D502" t="s">
        <v>65</v>
      </c>
      <c r="E502" t="s">
        <v>36</v>
      </c>
      <c r="F502" t="s">
        <v>17</v>
      </c>
      <c r="G502" t="s">
        <v>18</v>
      </c>
      <c r="H502">
        <v>56</v>
      </c>
      <c r="I502" t="str">
        <f>IF(TBL[[#This Row],[Age]]&gt;=60, "Old", IF(TBL[[#This Row],[Age]]&gt;=30, "Adult", "Young"))</f>
        <v>Adult</v>
      </c>
      <c r="J502" s="1">
        <v>43169</v>
      </c>
      <c r="K502">
        <f t="shared" si="7"/>
        <v>2018</v>
      </c>
      <c r="L502">
        <f>MONTH(TBL[[#This Row],[Hire Date]])</f>
        <v>3</v>
      </c>
      <c r="M502" s="7">
        <v>90040</v>
      </c>
      <c r="N502" s="8">
        <v>0</v>
      </c>
      <c r="O502" t="s">
        <v>19</v>
      </c>
      <c r="P502" t="s">
        <v>20</v>
      </c>
      <c r="Q502" s="1" t="s">
        <v>21</v>
      </c>
    </row>
    <row r="503" spans="1:17" x14ac:dyDescent="0.35">
      <c r="A503" t="s">
        <v>1205</v>
      </c>
      <c r="B503" t="s">
        <v>1206</v>
      </c>
      <c r="C503" t="s">
        <v>86</v>
      </c>
      <c r="D503" t="s">
        <v>31</v>
      </c>
      <c r="E503" t="s">
        <v>36</v>
      </c>
      <c r="F503" t="s">
        <v>17</v>
      </c>
      <c r="G503" t="s">
        <v>51</v>
      </c>
      <c r="H503">
        <v>30</v>
      </c>
      <c r="I503" t="str">
        <f>IF(TBL[[#This Row],[Age]]&gt;=60, "Old", IF(TBL[[#This Row],[Age]]&gt;=30, "Adult", "Young"))</f>
        <v>Adult</v>
      </c>
      <c r="J503" s="1">
        <v>42516</v>
      </c>
      <c r="K503">
        <f t="shared" si="7"/>
        <v>2016</v>
      </c>
      <c r="L503">
        <f>MONTH(TBL[[#This Row],[Hire Date]])</f>
        <v>5</v>
      </c>
      <c r="M503" s="7">
        <v>91134</v>
      </c>
      <c r="N503" s="8">
        <v>0</v>
      </c>
      <c r="O503" t="s">
        <v>52</v>
      </c>
      <c r="P503" t="s">
        <v>53</v>
      </c>
      <c r="Q503" s="1" t="s">
        <v>21</v>
      </c>
    </row>
    <row r="504" spans="1:17" x14ac:dyDescent="0.35">
      <c r="A504" t="s">
        <v>1207</v>
      </c>
      <c r="B504" t="s">
        <v>1208</v>
      </c>
      <c r="C504" t="s">
        <v>14</v>
      </c>
      <c r="D504" t="s">
        <v>23</v>
      </c>
      <c r="E504" t="s">
        <v>44</v>
      </c>
      <c r="F504" t="s">
        <v>17</v>
      </c>
      <c r="G504" t="s">
        <v>24</v>
      </c>
      <c r="H504">
        <v>45</v>
      </c>
      <c r="I504" t="str">
        <f>IF(TBL[[#This Row],[Age]]&gt;=60, "Old", IF(TBL[[#This Row],[Age]]&gt;=30, "Adult", "Young"))</f>
        <v>Adult</v>
      </c>
      <c r="J504" s="1">
        <v>44461</v>
      </c>
      <c r="K504">
        <f t="shared" si="7"/>
        <v>2021</v>
      </c>
      <c r="L504">
        <f>MONTH(TBL[[#This Row],[Hire Date]])</f>
        <v>9</v>
      </c>
      <c r="M504" s="7">
        <v>201396</v>
      </c>
      <c r="N504" s="8">
        <v>0.32</v>
      </c>
      <c r="O504" t="s">
        <v>19</v>
      </c>
      <c r="P504" t="s">
        <v>45</v>
      </c>
      <c r="Q504" s="1" t="s">
        <v>21</v>
      </c>
    </row>
    <row r="505" spans="1:17" x14ac:dyDescent="0.35">
      <c r="A505" t="s">
        <v>1209</v>
      </c>
      <c r="B505" t="s">
        <v>401</v>
      </c>
      <c r="C505" t="s">
        <v>68</v>
      </c>
      <c r="D505" t="s">
        <v>65</v>
      </c>
      <c r="E505" t="s">
        <v>32</v>
      </c>
      <c r="F505" t="s">
        <v>17</v>
      </c>
      <c r="G505" t="s">
        <v>24</v>
      </c>
      <c r="H505">
        <v>55</v>
      </c>
      <c r="I505" t="str">
        <f>IF(TBL[[#This Row],[Age]]&gt;=60, "Old", IF(TBL[[#This Row],[Age]]&gt;=30, "Adult", "Young"))</f>
        <v>Adult</v>
      </c>
      <c r="J505" s="1">
        <v>40899</v>
      </c>
      <c r="K505">
        <f t="shared" si="7"/>
        <v>2011</v>
      </c>
      <c r="L505">
        <f>MONTH(TBL[[#This Row],[Hire Date]])</f>
        <v>12</v>
      </c>
      <c r="M505" s="7">
        <v>54733</v>
      </c>
      <c r="N505" s="8">
        <v>0</v>
      </c>
      <c r="O505" t="s">
        <v>33</v>
      </c>
      <c r="P505" t="s">
        <v>80</v>
      </c>
      <c r="Q505" s="1" t="s">
        <v>21</v>
      </c>
    </row>
    <row r="506" spans="1:17" x14ac:dyDescent="0.35">
      <c r="A506" t="s">
        <v>1210</v>
      </c>
      <c r="B506" t="s">
        <v>1211</v>
      </c>
      <c r="C506" t="s">
        <v>98</v>
      </c>
      <c r="D506" t="s">
        <v>27</v>
      </c>
      <c r="E506" t="s">
        <v>32</v>
      </c>
      <c r="F506" t="s">
        <v>28</v>
      </c>
      <c r="G506" t="s">
        <v>47</v>
      </c>
      <c r="H506">
        <v>28</v>
      </c>
      <c r="I506" t="str">
        <f>IF(TBL[[#This Row],[Age]]&gt;=60, "Old", IF(TBL[[#This Row],[Age]]&gt;=30, "Adult", "Young"))</f>
        <v>Young</v>
      </c>
      <c r="J506" s="1">
        <v>43633</v>
      </c>
      <c r="K506">
        <f t="shared" si="7"/>
        <v>2019</v>
      </c>
      <c r="L506">
        <f>MONTH(TBL[[#This Row],[Hire Date]])</f>
        <v>6</v>
      </c>
      <c r="M506" s="7">
        <v>65341</v>
      </c>
      <c r="N506" s="8">
        <v>0</v>
      </c>
      <c r="O506" t="s">
        <v>19</v>
      </c>
      <c r="P506" t="s">
        <v>45</v>
      </c>
      <c r="Q506" s="1">
        <v>44662</v>
      </c>
    </row>
    <row r="507" spans="1:17" x14ac:dyDescent="0.35">
      <c r="A507" t="s">
        <v>273</v>
      </c>
      <c r="B507" t="s">
        <v>1212</v>
      </c>
      <c r="C507" t="s">
        <v>61</v>
      </c>
      <c r="D507" t="s">
        <v>15</v>
      </c>
      <c r="E507" t="s">
        <v>32</v>
      </c>
      <c r="F507" t="s">
        <v>17</v>
      </c>
      <c r="G507" t="s">
        <v>47</v>
      </c>
      <c r="H507">
        <v>59</v>
      </c>
      <c r="I507" t="str">
        <f>IF(TBL[[#This Row],[Age]]&gt;=60, "Old", IF(TBL[[#This Row],[Age]]&gt;=30, "Adult", "Young"))</f>
        <v>Adult</v>
      </c>
      <c r="J507" s="1">
        <v>43400</v>
      </c>
      <c r="K507">
        <f t="shared" si="7"/>
        <v>2018</v>
      </c>
      <c r="L507">
        <f>MONTH(TBL[[#This Row],[Hire Date]])</f>
        <v>10</v>
      </c>
      <c r="M507" s="7">
        <v>139208</v>
      </c>
      <c r="N507" s="8">
        <v>0.11</v>
      </c>
      <c r="O507" t="s">
        <v>19</v>
      </c>
      <c r="P507" t="s">
        <v>25</v>
      </c>
      <c r="Q507" s="1" t="s">
        <v>21</v>
      </c>
    </row>
    <row r="508" spans="1:17" x14ac:dyDescent="0.35">
      <c r="A508" t="s">
        <v>1213</v>
      </c>
      <c r="B508" t="s">
        <v>1214</v>
      </c>
      <c r="C508" t="s">
        <v>42</v>
      </c>
      <c r="D508" t="s">
        <v>50</v>
      </c>
      <c r="E508" t="s">
        <v>44</v>
      </c>
      <c r="F508" t="s">
        <v>28</v>
      </c>
      <c r="G508" t="s">
        <v>24</v>
      </c>
      <c r="H508">
        <v>63</v>
      </c>
      <c r="I508" t="str">
        <f>IF(TBL[[#This Row],[Age]]&gt;=60, "Old", IF(TBL[[#This Row],[Age]]&gt;=30, "Adult", "Young"))</f>
        <v>Old</v>
      </c>
      <c r="J508" s="1">
        <v>43171</v>
      </c>
      <c r="K508">
        <f t="shared" si="7"/>
        <v>2018</v>
      </c>
      <c r="L508">
        <f>MONTH(TBL[[#This Row],[Hire Date]])</f>
        <v>3</v>
      </c>
      <c r="M508" s="7">
        <v>73200</v>
      </c>
      <c r="N508" s="8">
        <v>0</v>
      </c>
      <c r="O508" t="s">
        <v>33</v>
      </c>
      <c r="P508" t="s">
        <v>74</v>
      </c>
      <c r="Q508" s="1" t="s">
        <v>21</v>
      </c>
    </row>
    <row r="509" spans="1:17" x14ac:dyDescent="0.35">
      <c r="A509" t="s">
        <v>1215</v>
      </c>
      <c r="B509" t="s">
        <v>1216</v>
      </c>
      <c r="C509" t="s">
        <v>62</v>
      </c>
      <c r="D509" t="s">
        <v>65</v>
      </c>
      <c r="E509" t="s">
        <v>44</v>
      </c>
      <c r="F509" t="s">
        <v>17</v>
      </c>
      <c r="G509" t="s">
        <v>51</v>
      </c>
      <c r="H509">
        <v>46</v>
      </c>
      <c r="I509" t="str">
        <f>IF(TBL[[#This Row],[Age]]&gt;=60, "Old", IF(TBL[[#This Row],[Age]]&gt;=30, "Adult", "Young"))</f>
        <v>Adult</v>
      </c>
      <c r="J509" s="1">
        <v>40292</v>
      </c>
      <c r="K509">
        <f t="shared" si="7"/>
        <v>2010</v>
      </c>
      <c r="L509">
        <f>MONTH(TBL[[#This Row],[Hire Date]])</f>
        <v>4</v>
      </c>
      <c r="M509" s="7">
        <v>102636</v>
      </c>
      <c r="N509" s="8">
        <v>0.06</v>
      </c>
      <c r="O509" t="s">
        <v>19</v>
      </c>
      <c r="P509" t="s">
        <v>63</v>
      </c>
      <c r="Q509" s="1" t="s">
        <v>21</v>
      </c>
    </row>
    <row r="510" spans="1:17" x14ac:dyDescent="0.35">
      <c r="A510" t="s">
        <v>1217</v>
      </c>
      <c r="B510" t="s">
        <v>1218</v>
      </c>
      <c r="C510" t="s">
        <v>49</v>
      </c>
      <c r="D510" t="s">
        <v>50</v>
      </c>
      <c r="E510" t="s">
        <v>44</v>
      </c>
      <c r="F510" t="s">
        <v>17</v>
      </c>
      <c r="G510" t="s">
        <v>51</v>
      </c>
      <c r="H510">
        <v>26</v>
      </c>
      <c r="I510" t="str">
        <f>IF(TBL[[#This Row],[Age]]&gt;=60, "Old", IF(TBL[[#This Row],[Age]]&gt;=30, "Adult", "Young"))</f>
        <v>Young</v>
      </c>
      <c r="J510" s="1">
        <v>44236</v>
      </c>
      <c r="K510">
        <f t="shared" si="7"/>
        <v>2021</v>
      </c>
      <c r="L510">
        <f>MONTH(TBL[[#This Row],[Hire Date]])</f>
        <v>2</v>
      </c>
      <c r="M510" s="7">
        <v>87427</v>
      </c>
      <c r="N510" s="8">
        <v>0</v>
      </c>
      <c r="O510" t="s">
        <v>52</v>
      </c>
      <c r="P510" t="s">
        <v>53</v>
      </c>
      <c r="Q510" s="1" t="s">
        <v>21</v>
      </c>
    </row>
    <row r="511" spans="1:17" x14ac:dyDescent="0.35">
      <c r="A511" t="s">
        <v>1219</v>
      </c>
      <c r="B511" t="s">
        <v>1220</v>
      </c>
      <c r="C511" t="s">
        <v>73</v>
      </c>
      <c r="D511" t="s">
        <v>27</v>
      </c>
      <c r="E511" t="s">
        <v>16</v>
      </c>
      <c r="F511" t="s">
        <v>28</v>
      </c>
      <c r="G511" t="s">
        <v>18</v>
      </c>
      <c r="H511">
        <v>45</v>
      </c>
      <c r="I511" t="str">
        <f>IF(TBL[[#This Row],[Age]]&gt;=60, "Old", IF(TBL[[#This Row],[Age]]&gt;=30, "Adult", "Young"))</f>
        <v>Adult</v>
      </c>
      <c r="J511" s="1">
        <v>43248</v>
      </c>
      <c r="K511">
        <f t="shared" si="7"/>
        <v>2018</v>
      </c>
      <c r="L511">
        <f>MONTH(TBL[[#This Row],[Hire Date]])</f>
        <v>5</v>
      </c>
      <c r="M511" s="7">
        <v>49219</v>
      </c>
      <c r="N511" s="8">
        <v>0</v>
      </c>
      <c r="O511" t="s">
        <v>19</v>
      </c>
      <c r="P511" t="s">
        <v>29</v>
      </c>
      <c r="Q511" s="1" t="s">
        <v>21</v>
      </c>
    </row>
    <row r="512" spans="1:17" x14ac:dyDescent="0.35">
      <c r="A512" t="s">
        <v>1221</v>
      </c>
      <c r="B512" t="s">
        <v>857</v>
      </c>
      <c r="C512" t="s">
        <v>62</v>
      </c>
      <c r="D512" t="s">
        <v>15</v>
      </c>
      <c r="E512" t="s">
        <v>36</v>
      </c>
      <c r="F512" t="s">
        <v>28</v>
      </c>
      <c r="G512" t="s">
        <v>24</v>
      </c>
      <c r="H512">
        <v>50</v>
      </c>
      <c r="I512" t="str">
        <f>IF(TBL[[#This Row],[Age]]&gt;=60, "Old", IF(TBL[[#This Row],[Age]]&gt;=30, "Adult", "Young"))</f>
        <v>Adult</v>
      </c>
      <c r="J512" s="1">
        <v>43239</v>
      </c>
      <c r="K512">
        <f t="shared" si="7"/>
        <v>2018</v>
      </c>
      <c r="L512">
        <f>MONTH(TBL[[#This Row],[Hire Date]])</f>
        <v>5</v>
      </c>
      <c r="M512" s="7">
        <v>106437</v>
      </c>
      <c r="N512" s="8">
        <v>7.0000000000000007E-2</v>
      </c>
      <c r="O512" t="s">
        <v>33</v>
      </c>
      <c r="P512" t="s">
        <v>80</v>
      </c>
      <c r="Q512" s="1" t="s">
        <v>21</v>
      </c>
    </row>
    <row r="513" spans="1:17" x14ac:dyDescent="0.35">
      <c r="A513" t="s">
        <v>1222</v>
      </c>
      <c r="B513" t="s">
        <v>1223</v>
      </c>
      <c r="C513" t="s">
        <v>64</v>
      </c>
      <c r="D513" t="s">
        <v>15</v>
      </c>
      <c r="E513" t="s">
        <v>36</v>
      </c>
      <c r="F513" t="s">
        <v>28</v>
      </c>
      <c r="G513" t="s">
        <v>51</v>
      </c>
      <c r="H513">
        <v>46</v>
      </c>
      <c r="I513" t="str">
        <f>IF(TBL[[#This Row],[Age]]&gt;=60, "Old", IF(TBL[[#This Row],[Age]]&gt;=30, "Adult", "Young"))</f>
        <v>Adult</v>
      </c>
      <c r="J513" s="1">
        <v>42129</v>
      </c>
      <c r="K513">
        <f t="shared" si="7"/>
        <v>2015</v>
      </c>
      <c r="L513">
        <f>MONTH(TBL[[#This Row],[Hire Date]])</f>
        <v>5</v>
      </c>
      <c r="M513" s="7">
        <v>64364</v>
      </c>
      <c r="N513" s="8">
        <v>0</v>
      </c>
      <c r="O513" t="s">
        <v>52</v>
      </c>
      <c r="P513" t="s">
        <v>53</v>
      </c>
      <c r="Q513" s="1" t="s">
        <v>21</v>
      </c>
    </row>
    <row r="514" spans="1:17" x14ac:dyDescent="0.35">
      <c r="A514" t="s">
        <v>1224</v>
      </c>
      <c r="B514" t="s">
        <v>1225</v>
      </c>
      <c r="C514" t="s">
        <v>40</v>
      </c>
      <c r="D514" t="s">
        <v>23</v>
      </c>
      <c r="E514" t="s">
        <v>36</v>
      </c>
      <c r="F514" t="s">
        <v>28</v>
      </c>
      <c r="G514" t="s">
        <v>18</v>
      </c>
      <c r="H514">
        <v>50</v>
      </c>
      <c r="I514" t="str">
        <f>IF(TBL[[#This Row],[Age]]&gt;=60, "Old", IF(TBL[[#This Row],[Age]]&gt;=30, "Adult", "Young"))</f>
        <v>Adult</v>
      </c>
      <c r="J514" s="1">
        <v>44486</v>
      </c>
      <c r="K514">
        <f t="shared" ref="K514:K577" si="8">YEAR(--J514)</f>
        <v>2021</v>
      </c>
      <c r="L514">
        <f>MONTH(TBL[[#This Row],[Hire Date]])</f>
        <v>10</v>
      </c>
      <c r="M514" s="7">
        <v>172180</v>
      </c>
      <c r="N514" s="8">
        <v>0.3</v>
      </c>
      <c r="O514" t="s">
        <v>19</v>
      </c>
      <c r="P514" t="s">
        <v>29</v>
      </c>
      <c r="Q514" s="1" t="s">
        <v>21</v>
      </c>
    </row>
    <row r="515" spans="1:17" x14ac:dyDescent="0.35">
      <c r="A515" t="s">
        <v>1226</v>
      </c>
      <c r="B515" t="s">
        <v>1227</v>
      </c>
      <c r="C515" t="s">
        <v>42</v>
      </c>
      <c r="D515" t="s">
        <v>50</v>
      </c>
      <c r="E515" t="s">
        <v>36</v>
      </c>
      <c r="F515" t="s">
        <v>17</v>
      </c>
      <c r="G515" t="s">
        <v>51</v>
      </c>
      <c r="H515">
        <v>33</v>
      </c>
      <c r="I515" t="str">
        <f>IF(TBL[[#This Row],[Age]]&gt;=60, "Old", IF(TBL[[#This Row],[Age]]&gt;=30, "Adult", "Young"))</f>
        <v>Adult</v>
      </c>
      <c r="J515" s="1">
        <v>41043</v>
      </c>
      <c r="K515">
        <f t="shared" si="8"/>
        <v>2012</v>
      </c>
      <c r="L515">
        <f>MONTH(TBL[[#This Row],[Hire Date]])</f>
        <v>5</v>
      </c>
      <c r="M515" s="7">
        <v>88343</v>
      </c>
      <c r="N515" s="8">
        <v>0</v>
      </c>
      <c r="O515" t="s">
        <v>52</v>
      </c>
      <c r="P515" t="s">
        <v>66</v>
      </c>
      <c r="Q515" s="1" t="s">
        <v>21</v>
      </c>
    </row>
    <row r="516" spans="1:17" x14ac:dyDescent="0.35">
      <c r="A516" t="s">
        <v>1228</v>
      </c>
      <c r="B516" t="s">
        <v>1229</v>
      </c>
      <c r="C516" t="s">
        <v>88</v>
      </c>
      <c r="D516" t="s">
        <v>27</v>
      </c>
      <c r="E516" t="s">
        <v>44</v>
      </c>
      <c r="F516" t="s">
        <v>28</v>
      </c>
      <c r="G516" t="s">
        <v>51</v>
      </c>
      <c r="H516">
        <v>57</v>
      </c>
      <c r="I516" t="str">
        <f>IF(TBL[[#This Row],[Age]]&gt;=60, "Old", IF(TBL[[#This Row],[Age]]&gt;=30, "Adult", "Young"))</f>
        <v>Adult</v>
      </c>
      <c r="J516" s="1">
        <v>41830</v>
      </c>
      <c r="K516">
        <f t="shared" si="8"/>
        <v>2014</v>
      </c>
      <c r="L516">
        <f>MONTH(TBL[[#This Row],[Hire Date]])</f>
        <v>7</v>
      </c>
      <c r="M516" s="7">
        <v>66649</v>
      </c>
      <c r="N516" s="8">
        <v>0</v>
      </c>
      <c r="O516" t="s">
        <v>52</v>
      </c>
      <c r="P516" t="s">
        <v>66</v>
      </c>
      <c r="Q516" s="1" t="s">
        <v>21</v>
      </c>
    </row>
    <row r="517" spans="1:17" x14ac:dyDescent="0.35">
      <c r="A517" t="s">
        <v>485</v>
      </c>
      <c r="B517" t="s">
        <v>1230</v>
      </c>
      <c r="C517" t="s">
        <v>62</v>
      </c>
      <c r="D517" t="s">
        <v>15</v>
      </c>
      <c r="E517" t="s">
        <v>32</v>
      </c>
      <c r="F517" t="s">
        <v>17</v>
      </c>
      <c r="G517" t="s">
        <v>18</v>
      </c>
      <c r="H517">
        <v>48</v>
      </c>
      <c r="I517" t="str">
        <f>IF(TBL[[#This Row],[Age]]&gt;=60, "Old", IF(TBL[[#This Row],[Age]]&gt;=30, "Adult", "Young"))</f>
        <v>Adult</v>
      </c>
      <c r="J517" s="1">
        <v>36272</v>
      </c>
      <c r="K517">
        <f t="shared" si="8"/>
        <v>1999</v>
      </c>
      <c r="L517">
        <f>MONTH(TBL[[#This Row],[Hire Date]])</f>
        <v>4</v>
      </c>
      <c r="M517" s="7">
        <v>102847</v>
      </c>
      <c r="N517" s="8">
        <v>0.05</v>
      </c>
      <c r="O517" t="s">
        <v>19</v>
      </c>
      <c r="P517" t="s">
        <v>20</v>
      </c>
      <c r="Q517" s="1" t="s">
        <v>21</v>
      </c>
    </row>
    <row r="518" spans="1:17" x14ac:dyDescent="0.35">
      <c r="A518" t="s">
        <v>1231</v>
      </c>
      <c r="B518" t="s">
        <v>1232</v>
      </c>
      <c r="C518" t="s">
        <v>61</v>
      </c>
      <c r="D518" t="s">
        <v>15</v>
      </c>
      <c r="E518" t="s">
        <v>36</v>
      </c>
      <c r="F518" t="s">
        <v>28</v>
      </c>
      <c r="G518" t="s">
        <v>51</v>
      </c>
      <c r="H518">
        <v>46</v>
      </c>
      <c r="I518" t="str">
        <f>IF(TBL[[#This Row],[Age]]&gt;=60, "Old", IF(TBL[[#This Row],[Age]]&gt;=30, "Adult", "Young"))</f>
        <v>Adult</v>
      </c>
      <c r="J518" s="1">
        <v>40378</v>
      </c>
      <c r="K518">
        <f t="shared" si="8"/>
        <v>2010</v>
      </c>
      <c r="L518">
        <f>MONTH(TBL[[#This Row],[Hire Date]])</f>
        <v>7</v>
      </c>
      <c r="M518" s="7">
        <v>134881</v>
      </c>
      <c r="N518" s="8">
        <v>0.15</v>
      </c>
      <c r="O518" t="s">
        <v>52</v>
      </c>
      <c r="P518" t="s">
        <v>81</v>
      </c>
      <c r="Q518" s="1" t="s">
        <v>21</v>
      </c>
    </row>
    <row r="519" spans="1:17" x14ac:dyDescent="0.35">
      <c r="A519" t="s">
        <v>1233</v>
      </c>
      <c r="B519" t="s">
        <v>1234</v>
      </c>
      <c r="C519" t="s">
        <v>64</v>
      </c>
      <c r="D519" t="s">
        <v>43</v>
      </c>
      <c r="E519" t="s">
        <v>36</v>
      </c>
      <c r="F519" t="s">
        <v>28</v>
      </c>
      <c r="G519" t="s">
        <v>24</v>
      </c>
      <c r="H519">
        <v>52</v>
      </c>
      <c r="I519" t="str">
        <f>IF(TBL[[#This Row],[Age]]&gt;=60, "Old", IF(TBL[[#This Row],[Age]]&gt;=30, "Adult", "Young"))</f>
        <v>Adult</v>
      </c>
      <c r="J519" s="1">
        <v>36303</v>
      </c>
      <c r="K519">
        <f t="shared" si="8"/>
        <v>1999</v>
      </c>
      <c r="L519">
        <f>MONTH(TBL[[#This Row],[Hire Date]])</f>
        <v>5</v>
      </c>
      <c r="M519" s="7">
        <v>68807</v>
      </c>
      <c r="N519" s="8">
        <v>0</v>
      </c>
      <c r="O519" t="s">
        <v>33</v>
      </c>
      <c r="P519" t="s">
        <v>34</v>
      </c>
      <c r="Q519" s="1">
        <v>42338</v>
      </c>
    </row>
    <row r="520" spans="1:17" x14ac:dyDescent="0.35">
      <c r="A520" t="s">
        <v>1235</v>
      </c>
      <c r="B520" t="s">
        <v>1236</v>
      </c>
      <c r="C520" t="s">
        <v>14</v>
      </c>
      <c r="D520" t="s">
        <v>27</v>
      </c>
      <c r="E520" t="s">
        <v>36</v>
      </c>
      <c r="F520" t="s">
        <v>28</v>
      </c>
      <c r="G520" t="s">
        <v>18</v>
      </c>
      <c r="H520">
        <v>56</v>
      </c>
      <c r="I520" t="str">
        <f>IF(TBL[[#This Row],[Age]]&gt;=60, "Old", IF(TBL[[#This Row],[Age]]&gt;=30, "Adult", "Young"))</f>
        <v>Adult</v>
      </c>
      <c r="J520" s="1">
        <v>38866</v>
      </c>
      <c r="K520">
        <f t="shared" si="8"/>
        <v>2006</v>
      </c>
      <c r="L520">
        <f>MONTH(TBL[[#This Row],[Hire Date]])</f>
        <v>5</v>
      </c>
      <c r="M520" s="7">
        <v>228822</v>
      </c>
      <c r="N520" s="8">
        <v>0.36</v>
      </c>
      <c r="O520" t="s">
        <v>19</v>
      </c>
      <c r="P520" t="s">
        <v>45</v>
      </c>
      <c r="Q520" s="1" t="s">
        <v>21</v>
      </c>
    </row>
    <row r="521" spans="1:17" x14ac:dyDescent="0.35">
      <c r="A521" t="s">
        <v>1237</v>
      </c>
      <c r="B521" t="s">
        <v>1238</v>
      </c>
      <c r="C521" t="s">
        <v>68</v>
      </c>
      <c r="D521" t="s">
        <v>43</v>
      </c>
      <c r="E521" t="s">
        <v>36</v>
      </c>
      <c r="F521" t="s">
        <v>28</v>
      </c>
      <c r="G521" t="s">
        <v>18</v>
      </c>
      <c r="H521">
        <v>28</v>
      </c>
      <c r="I521" t="str">
        <f>IF(TBL[[#This Row],[Age]]&gt;=60, "Old", IF(TBL[[#This Row],[Age]]&gt;=30, "Adult", "Young"))</f>
        <v>Young</v>
      </c>
      <c r="J521" s="1">
        <v>44395</v>
      </c>
      <c r="K521">
        <f t="shared" si="8"/>
        <v>2021</v>
      </c>
      <c r="L521">
        <f>MONTH(TBL[[#This Row],[Hire Date]])</f>
        <v>7</v>
      </c>
      <c r="M521" s="7">
        <v>43391</v>
      </c>
      <c r="N521" s="8">
        <v>0</v>
      </c>
      <c r="O521" t="s">
        <v>19</v>
      </c>
      <c r="P521" t="s">
        <v>29</v>
      </c>
      <c r="Q521" s="1" t="s">
        <v>21</v>
      </c>
    </row>
    <row r="522" spans="1:17" x14ac:dyDescent="0.35">
      <c r="A522" t="s">
        <v>364</v>
      </c>
      <c r="B522" t="s">
        <v>1239</v>
      </c>
      <c r="C522" t="s">
        <v>30</v>
      </c>
      <c r="D522" t="s">
        <v>31</v>
      </c>
      <c r="E522" t="s">
        <v>44</v>
      </c>
      <c r="F522" t="s">
        <v>28</v>
      </c>
      <c r="G522" t="s">
        <v>24</v>
      </c>
      <c r="H522">
        <v>29</v>
      </c>
      <c r="I522" t="str">
        <f>IF(TBL[[#This Row],[Age]]&gt;=60, "Old", IF(TBL[[#This Row],[Age]]&gt;=30, "Adult", "Young"))</f>
        <v>Young</v>
      </c>
      <c r="J522" s="1">
        <v>44515</v>
      </c>
      <c r="K522">
        <f t="shared" si="8"/>
        <v>2021</v>
      </c>
      <c r="L522">
        <f>MONTH(TBL[[#This Row],[Hire Date]])</f>
        <v>11</v>
      </c>
      <c r="M522" s="7">
        <v>91782</v>
      </c>
      <c r="N522" s="8">
        <v>0</v>
      </c>
      <c r="O522" t="s">
        <v>33</v>
      </c>
      <c r="P522" t="s">
        <v>80</v>
      </c>
      <c r="Q522" s="1" t="s">
        <v>21</v>
      </c>
    </row>
    <row r="523" spans="1:17" x14ac:dyDescent="0.35">
      <c r="A523" t="s">
        <v>277</v>
      </c>
      <c r="B523" t="s">
        <v>1240</v>
      </c>
      <c r="C523" t="s">
        <v>14</v>
      </c>
      <c r="D523" t="s">
        <v>43</v>
      </c>
      <c r="E523" t="s">
        <v>32</v>
      </c>
      <c r="F523" t="s">
        <v>17</v>
      </c>
      <c r="G523" t="s">
        <v>24</v>
      </c>
      <c r="H523">
        <v>45</v>
      </c>
      <c r="I523" t="str">
        <f>IF(TBL[[#This Row],[Age]]&gt;=60, "Old", IF(TBL[[#This Row],[Age]]&gt;=30, "Adult", "Young"))</f>
        <v>Adult</v>
      </c>
      <c r="J523" s="1">
        <v>42428</v>
      </c>
      <c r="K523">
        <f t="shared" si="8"/>
        <v>2016</v>
      </c>
      <c r="L523">
        <f>MONTH(TBL[[#This Row],[Hire Date]])</f>
        <v>2</v>
      </c>
      <c r="M523" s="7">
        <v>211637</v>
      </c>
      <c r="N523" s="8">
        <v>0.31</v>
      </c>
      <c r="O523" t="s">
        <v>19</v>
      </c>
      <c r="P523" t="s">
        <v>20</v>
      </c>
      <c r="Q523" s="1" t="s">
        <v>21</v>
      </c>
    </row>
    <row r="524" spans="1:17" x14ac:dyDescent="0.35">
      <c r="A524" t="s">
        <v>391</v>
      </c>
      <c r="B524" t="s">
        <v>1241</v>
      </c>
      <c r="C524" t="s">
        <v>56</v>
      </c>
      <c r="D524" t="s">
        <v>27</v>
      </c>
      <c r="E524" t="s">
        <v>36</v>
      </c>
      <c r="F524" t="s">
        <v>28</v>
      </c>
      <c r="G524" t="s">
        <v>18</v>
      </c>
      <c r="H524">
        <v>28</v>
      </c>
      <c r="I524" t="str">
        <f>IF(TBL[[#This Row],[Age]]&gt;=60, "Old", IF(TBL[[#This Row],[Age]]&gt;=30, "Adult", "Young"))</f>
        <v>Young</v>
      </c>
      <c r="J524" s="1">
        <v>44051</v>
      </c>
      <c r="K524">
        <f t="shared" si="8"/>
        <v>2020</v>
      </c>
      <c r="L524">
        <f>MONTH(TBL[[#This Row],[Hire Date]])</f>
        <v>8</v>
      </c>
      <c r="M524" s="7">
        <v>73255</v>
      </c>
      <c r="N524" s="8">
        <v>0.09</v>
      </c>
      <c r="O524" t="s">
        <v>19</v>
      </c>
      <c r="P524" t="s">
        <v>39</v>
      </c>
      <c r="Q524" s="1" t="s">
        <v>21</v>
      </c>
    </row>
    <row r="525" spans="1:17" x14ac:dyDescent="0.35">
      <c r="A525" t="s">
        <v>1242</v>
      </c>
      <c r="B525" t="s">
        <v>1243</v>
      </c>
      <c r="C525" t="s">
        <v>62</v>
      </c>
      <c r="D525" t="s">
        <v>50</v>
      </c>
      <c r="E525" t="s">
        <v>32</v>
      </c>
      <c r="F525" t="s">
        <v>28</v>
      </c>
      <c r="G525" t="s">
        <v>18</v>
      </c>
      <c r="H525">
        <v>28</v>
      </c>
      <c r="I525" t="str">
        <f>IF(TBL[[#This Row],[Age]]&gt;=60, "Old", IF(TBL[[#This Row],[Age]]&gt;=30, "Adult", "Young"))</f>
        <v>Young</v>
      </c>
      <c r="J525" s="1">
        <v>44204</v>
      </c>
      <c r="K525">
        <f t="shared" si="8"/>
        <v>2021</v>
      </c>
      <c r="L525">
        <f>MONTH(TBL[[#This Row],[Hire Date]])</f>
        <v>1</v>
      </c>
      <c r="M525" s="7">
        <v>108826</v>
      </c>
      <c r="N525" s="8">
        <v>0.1</v>
      </c>
      <c r="O525" t="s">
        <v>19</v>
      </c>
      <c r="P525" t="s">
        <v>45</v>
      </c>
      <c r="Q525" s="1" t="s">
        <v>21</v>
      </c>
    </row>
    <row r="526" spans="1:17" x14ac:dyDescent="0.35">
      <c r="A526" t="s">
        <v>1244</v>
      </c>
      <c r="B526" t="s">
        <v>1245</v>
      </c>
      <c r="C526" t="s">
        <v>88</v>
      </c>
      <c r="D526" t="s">
        <v>27</v>
      </c>
      <c r="E526" t="s">
        <v>44</v>
      </c>
      <c r="F526" t="s">
        <v>28</v>
      </c>
      <c r="G526" t="s">
        <v>18</v>
      </c>
      <c r="H526">
        <v>34</v>
      </c>
      <c r="I526" t="str">
        <f>IF(TBL[[#This Row],[Age]]&gt;=60, "Old", IF(TBL[[#This Row],[Age]]&gt;=30, "Adult", "Young"))</f>
        <v>Adult</v>
      </c>
      <c r="J526" s="1">
        <v>42514</v>
      </c>
      <c r="K526">
        <f t="shared" si="8"/>
        <v>2016</v>
      </c>
      <c r="L526">
        <f>MONTH(TBL[[#This Row],[Hire Date]])</f>
        <v>5</v>
      </c>
      <c r="M526" s="7">
        <v>94352</v>
      </c>
      <c r="N526" s="8">
        <v>0</v>
      </c>
      <c r="O526" t="s">
        <v>19</v>
      </c>
      <c r="P526" t="s">
        <v>45</v>
      </c>
      <c r="Q526" s="1" t="s">
        <v>21</v>
      </c>
    </row>
    <row r="527" spans="1:17" x14ac:dyDescent="0.35">
      <c r="A527" t="s">
        <v>406</v>
      </c>
      <c r="B527" t="s">
        <v>1246</v>
      </c>
      <c r="C527" t="s">
        <v>91</v>
      </c>
      <c r="D527" t="s">
        <v>27</v>
      </c>
      <c r="E527" t="s">
        <v>16</v>
      </c>
      <c r="F527" t="s">
        <v>17</v>
      </c>
      <c r="G527" t="s">
        <v>51</v>
      </c>
      <c r="H527">
        <v>55</v>
      </c>
      <c r="I527" t="str">
        <f>IF(TBL[[#This Row],[Age]]&gt;=60, "Old", IF(TBL[[#This Row],[Age]]&gt;=30, "Adult", "Young"))</f>
        <v>Adult</v>
      </c>
      <c r="J527" s="1">
        <v>34576</v>
      </c>
      <c r="K527">
        <f t="shared" si="8"/>
        <v>1994</v>
      </c>
      <c r="L527">
        <f>MONTH(TBL[[#This Row],[Hire Date]])</f>
        <v>8</v>
      </c>
      <c r="M527" s="7">
        <v>73955</v>
      </c>
      <c r="N527" s="8">
        <v>0</v>
      </c>
      <c r="O527" t="s">
        <v>19</v>
      </c>
      <c r="P527" t="s">
        <v>39</v>
      </c>
      <c r="Q527" s="1" t="s">
        <v>21</v>
      </c>
    </row>
    <row r="528" spans="1:17" x14ac:dyDescent="0.35">
      <c r="A528" t="s">
        <v>1247</v>
      </c>
      <c r="B528" t="s">
        <v>1248</v>
      </c>
      <c r="C528" t="s">
        <v>62</v>
      </c>
      <c r="D528" t="s">
        <v>23</v>
      </c>
      <c r="E528" t="s">
        <v>36</v>
      </c>
      <c r="F528" t="s">
        <v>28</v>
      </c>
      <c r="G528" t="s">
        <v>51</v>
      </c>
      <c r="H528">
        <v>34</v>
      </c>
      <c r="I528" t="str">
        <f>IF(TBL[[#This Row],[Age]]&gt;=60, "Old", IF(TBL[[#This Row],[Age]]&gt;=30, "Adult", "Young"))</f>
        <v>Adult</v>
      </c>
      <c r="J528" s="1">
        <v>41499</v>
      </c>
      <c r="K528">
        <f t="shared" si="8"/>
        <v>2013</v>
      </c>
      <c r="L528">
        <f>MONTH(TBL[[#This Row],[Hire Date]])</f>
        <v>8</v>
      </c>
      <c r="M528" s="7">
        <v>113909</v>
      </c>
      <c r="N528" s="8">
        <v>0.06</v>
      </c>
      <c r="O528" t="s">
        <v>52</v>
      </c>
      <c r="P528" t="s">
        <v>66</v>
      </c>
      <c r="Q528" s="1" t="s">
        <v>21</v>
      </c>
    </row>
    <row r="529" spans="1:17" x14ac:dyDescent="0.35">
      <c r="A529" t="s">
        <v>1249</v>
      </c>
      <c r="B529" t="s">
        <v>1250</v>
      </c>
      <c r="C529" t="s">
        <v>89</v>
      </c>
      <c r="D529" t="s">
        <v>27</v>
      </c>
      <c r="E529" t="s">
        <v>36</v>
      </c>
      <c r="F529" t="s">
        <v>28</v>
      </c>
      <c r="G529" t="s">
        <v>24</v>
      </c>
      <c r="H529">
        <v>27</v>
      </c>
      <c r="I529" t="str">
        <f>IF(TBL[[#This Row],[Age]]&gt;=60, "Old", IF(TBL[[#This Row],[Age]]&gt;=30, "Adult", "Young"))</f>
        <v>Young</v>
      </c>
      <c r="J529" s="1">
        <v>44189</v>
      </c>
      <c r="K529">
        <f t="shared" si="8"/>
        <v>2020</v>
      </c>
      <c r="L529">
        <f>MONTH(TBL[[#This Row],[Hire Date]])</f>
        <v>12</v>
      </c>
      <c r="M529" s="7">
        <v>92321</v>
      </c>
      <c r="N529" s="8">
        <v>0</v>
      </c>
      <c r="O529" t="s">
        <v>19</v>
      </c>
      <c r="P529" t="s">
        <v>20</v>
      </c>
      <c r="Q529" s="1" t="s">
        <v>21</v>
      </c>
    </row>
    <row r="530" spans="1:17" x14ac:dyDescent="0.35">
      <c r="A530" t="s">
        <v>1196</v>
      </c>
      <c r="B530" t="s">
        <v>1251</v>
      </c>
      <c r="C530" t="s">
        <v>56</v>
      </c>
      <c r="D530" t="s">
        <v>27</v>
      </c>
      <c r="E530" t="s">
        <v>16</v>
      </c>
      <c r="F530" t="s">
        <v>28</v>
      </c>
      <c r="G530" t="s">
        <v>18</v>
      </c>
      <c r="H530">
        <v>52</v>
      </c>
      <c r="I530" t="str">
        <f>IF(TBL[[#This Row],[Age]]&gt;=60, "Old", IF(TBL[[#This Row],[Age]]&gt;=30, "Adult", "Young"))</f>
        <v>Adult</v>
      </c>
      <c r="J530" s="1">
        <v>41417</v>
      </c>
      <c r="K530">
        <f t="shared" si="8"/>
        <v>2013</v>
      </c>
      <c r="L530">
        <f>MONTH(TBL[[#This Row],[Hire Date]])</f>
        <v>5</v>
      </c>
      <c r="M530" s="7">
        <v>99557</v>
      </c>
      <c r="N530" s="8">
        <v>0.09</v>
      </c>
      <c r="O530" t="s">
        <v>19</v>
      </c>
      <c r="P530" t="s">
        <v>63</v>
      </c>
      <c r="Q530" s="1" t="s">
        <v>21</v>
      </c>
    </row>
    <row r="531" spans="1:17" x14ac:dyDescent="0.35">
      <c r="A531" t="s">
        <v>1252</v>
      </c>
      <c r="B531" t="s">
        <v>1253</v>
      </c>
      <c r="C531" t="s">
        <v>59</v>
      </c>
      <c r="D531" t="s">
        <v>31</v>
      </c>
      <c r="E531" t="s">
        <v>44</v>
      </c>
      <c r="F531" t="s">
        <v>17</v>
      </c>
      <c r="G531" t="s">
        <v>18</v>
      </c>
      <c r="H531">
        <v>28</v>
      </c>
      <c r="I531" t="str">
        <f>IF(TBL[[#This Row],[Age]]&gt;=60, "Old", IF(TBL[[#This Row],[Age]]&gt;=30, "Adult", "Young"))</f>
        <v>Young</v>
      </c>
      <c r="J531" s="1">
        <v>43418</v>
      </c>
      <c r="K531">
        <f t="shared" si="8"/>
        <v>2018</v>
      </c>
      <c r="L531">
        <f>MONTH(TBL[[#This Row],[Hire Date]])</f>
        <v>11</v>
      </c>
      <c r="M531" s="7">
        <v>115854</v>
      </c>
      <c r="N531" s="8">
        <v>0</v>
      </c>
      <c r="O531" t="s">
        <v>19</v>
      </c>
      <c r="P531" t="s">
        <v>39</v>
      </c>
      <c r="Q531" s="1" t="s">
        <v>21</v>
      </c>
    </row>
    <row r="532" spans="1:17" x14ac:dyDescent="0.35">
      <c r="A532" t="s">
        <v>1254</v>
      </c>
      <c r="B532" t="s">
        <v>1255</v>
      </c>
      <c r="C532" t="s">
        <v>91</v>
      </c>
      <c r="D532" t="s">
        <v>27</v>
      </c>
      <c r="E532" t="s">
        <v>36</v>
      </c>
      <c r="F532" t="s">
        <v>17</v>
      </c>
      <c r="G532" t="s">
        <v>51</v>
      </c>
      <c r="H532">
        <v>44</v>
      </c>
      <c r="I532" t="str">
        <f>IF(TBL[[#This Row],[Age]]&gt;=60, "Old", IF(TBL[[#This Row],[Age]]&gt;=30, "Adult", "Young"))</f>
        <v>Adult</v>
      </c>
      <c r="J532" s="1">
        <v>40603</v>
      </c>
      <c r="K532">
        <f t="shared" si="8"/>
        <v>2011</v>
      </c>
      <c r="L532">
        <f>MONTH(TBL[[#This Row],[Hire Date]])</f>
        <v>3</v>
      </c>
      <c r="M532" s="7">
        <v>82462</v>
      </c>
      <c r="N532" s="8">
        <v>0</v>
      </c>
      <c r="O532" t="s">
        <v>19</v>
      </c>
      <c r="P532" t="s">
        <v>25</v>
      </c>
      <c r="Q532" s="1" t="s">
        <v>21</v>
      </c>
    </row>
    <row r="533" spans="1:17" x14ac:dyDescent="0.35">
      <c r="A533" t="s">
        <v>164</v>
      </c>
      <c r="B533" t="s">
        <v>1256</v>
      </c>
      <c r="C533" t="s">
        <v>14</v>
      </c>
      <c r="D533" t="s">
        <v>27</v>
      </c>
      <c r="E533" t="s">
        <v>16</v>
      </c>
      <c r="F533" t="s">
        <v>17</v>
      </c>
      <c r="G533" t="s">
        <v>18</v>
      </c>
      <c r="H533">
        <v>53</v>
      </c>
      <c r="I533" t="str">
        <f>IF(TBL[[#This Row],[Age]]&gt;=60, "Old", IF(TBL[[#This Row],[Age]]&gt;=30, "Adult", "Young"))</f>
        <v>Adult</v>
      </c>
      <c r="J533" s="1">
        <v>40856</v>
      </c>
      <c r="K533">
        <f t="shared" si="8"/>
        <v>2011</v>
      </c>
      <c r="L533">
        <f>MONTH(TBL[[#This Row],[Hire Date]])</f>
        <v>11</v>
      </c>
      <c r="M533" s="7">
        <v>198473</v>
      </c>
      <c r="N533" s="8">
        <v>0.32</v>
      </c>
      <c r="O533" t="s">
        <v>19</v>
      </c>
      <c r="P533" t="s">
        <v>45</v>
      </c>
      <c r="Q533" s="1" t="s">
        <v>21</v>
      </c>
    </row>
    <row r="534" spans="1:17" x14ac:dyDescent="0.35">
      <c r="A534" t="s">
        <v>1257</v>
      </c>
      <c r="B534" t="s">
        <v>1258</v>
      </c>
      <c r="C534" t="s">
        <v>61</v>
      </c>
      <c r="D534" t="s">
        <v>15</v>
      </c>
      <c r="E534" t="s">
        <v>32</v>
      </c>
      <c r="F534" t="s">
        <v>17</v>
      </c>
      <c r="G534" t="s">
        <v>24</v>
      </c>
      <c r="H534">
        <v>43</v>
      </c>
      <c r="I534" t="str">
        <f>IF(TBL[[#This Row],[Age]]&gt;=60, "Old", IF(TBL[[#This Row],[Age]]&gt;=30, "Adult", "Young"))</f>
        <v>Adult</v>
      </c>
      <c r="J534" s="1">
        <v>39005</v>
      </c>
      <c r="K534">
        <f t="shared" si="8"/>
        <v>2006</v>
      </c>
      <c r="L534">
        <f>MONTH(TBL[[#This Row],[Hire Date]])</f>
        <v>10</v>
      </c>
      <c r="M534" s="7">
        <v>153492</v>
      </c>
      <c r="N534" s="8">
        <v>0.11</v>
      </c>
      <c r="O534" t="s">
        <v>19</v>
      </c>
      <c r="P534" t="s">
        <v>20</v>
      </c>
      <c r="Q534" s="1" t="s">
        <v>21</v>
      </c>
    </row>
    <row r="535" spans="1:17" x14ac:dyDescent="0.35">
      <c r="A535" t="s">
        <v>1259</v>
      </c>
      <c r="B535" t="s">
        <v>1260</v>
      </c>
      <c r="C535" t="s">
        <v>14</v>
      </c>
      <c r="D535" t="s">
        <v>23</v>
      </c>
      <c r="E535" t="s">
        <v>32</v>
      </c>
      <c r="F535" t="s">
        <v>17</v>
      </c>
      <c r="G535" t="s">
        <v>47</v>
      </c>
      <c r="H535">
        <v>28</v>
      </c>
      <c r="I535" t="str">
        <f>IF(TBL[[#This Row],[Age]]&gt;=60, "Old", IF(TBL[[#This Row],[Age]]&gt;=30, "Adult", "Young"))</f>
        <v>Young</v>
      </c>
      <c r="J535" s="1">
        <v>43121</v>
      </c>
      <c r="K535">
        <f t="shared" si="8"/>
        <v>2018</v>
      </c>
      <c r="L535">
        <f>MONTH(TBL[[#This Row],[Hire Date]])</f>
        <v>1</v>
      </c>
      <c r="M535" s="7">
        <v>208210</v>
      </c>
      <c r="N535" s="8">
        <v>0.3</v>
      </c>
      <c r="O535" t="s">
        <v>19</v>
      </c>
      <c r="P535" t="s">
        <v>63</v>
      </c>
      <c r="Q535" s="1" t="s">
        <v>21</v>
      </c>
    </row>
    <row r="536" spans="1:17" x14ac:dyDescent="0.35">
      <c r="A536" t="s">
        <v>1261</v>
      </c>
      <c r="B536" t="s">
        <v>1262</v>
      </c>
      <c r="C536" t="s">
        <v>42</v>
      </c>
      <c r="D536" t="s">
        <v>43</v>
      </c>
      <c r="E536" t="s">
        <v>32</v>
      </c>
      <c r="F536" t="s">
        <v>28</v>
      </c>
      <c r="G536" t="s">
        <v>18</v>
      </c>
      <c r="H536">
        <v>33</v>
      </c>
      <c r="I536" t="str">
        <f>IF(TBL[[#This Row],[Age]]&gt;=60, "Old", IF(TBL[[#This Row],[Age]]&gt;=30, "Adult", "Young"))</f>
        <v>Adult</v>
      </c>
      <c r="J536" s="1">
        <v>42325</v>
      </c>
      <c r="K536">
        <f t="shared" si="8"/>
        <v>2015</v>
      </c>
      <c r="L536">
        <f>MONTH(TBL[[#This Row],[Hire Date]])</f>
        <v>11</v>
      </c>
      <c r="M536" s="7">
        <v>91632</v>
      </c>
      <c r="N536" s="8">
        <v>0</v>
      </c>
      <c r="O536" t="s">
        <v>19</v>
      </c>
      <c r="P536" t="s">
        <v>39</v>
      </c>
      <c r="Q536" s="1" t="s">
        <v>21</v>
      </c>
    </row>
    <row r="537" spans="1:17" x14ac:dyDescent="0.35">
      <c r="A537" t="s">
        <v>331</v>
      </c>
      <c r="B537" t="s">
        <v>1263</v>
      </c>
      <c r="C537" t="s">
        <v>22</v>
      </c>
      <c r="D537" t="s">
        <v>23</v>
      </c>
      <c r="E537" t="s">
        <v>32</v>
      </c>
      <c r="F537" t="s">
        <v>28</v>
      </c>
      <c r="G537" t="s">
        <v>24</v>
      </c>
      <c r="H537">
        <v>31</v>
      </c>
      <c r="I537" t="str">
        <f>IF(TBL[[#This Row],[Age]]&gt;=60, "Old", IF(TBL[[#This Row],[Age]]&gt;=30, "Adult", "Young"))</f>
        <v>Adult</v>
      </c>
      <c r="J537" s="1">
        <v>43002</v>
      </c>
      <c r="K537">
        <f t="shared" si="8"/>
        <v>2017</v>
      </c>
      <c r="L537">
        <f>MONTH(TBL[[#This Row],[Hire Date]])</f>
        <v>9</v>
      </c>
      <c r="M537" s="7">
        <v>71755</v>
      </c>
      <c r="N537" s="8">
        <v>0</v>
      </c>
      <c r="O537" t="s">
        <v>33</v>
      </c>
      <c r="P537" t="s">
        <v>80</v>
      </c>
      <c r="Q537" s="1" t="s">
        <v>21</v>
      </c>
    </row>
    <row r="538" spans="1:17" x14ac:dyDescent="0.35">
      <c r="A538" t="s">
        <v>346</v>
      </c>
      <c r="B538" t="s">
        <v>1264</v>
      </c>
      <c r="C538" t="s">
        <v>62</v>
      </c>
      <c r="D538" t="s">
        <v>65</v>
      </c>
      <c r="E538" t="s">
        <v>32</v>
      </c>
      <c r="F538" t="s">
        <v>17</v>
      </c>
      <c r="G538" t="s">
        <v>24</v>
      </c>
      <c r="H538">
        <v>52</v>
      </c>
      <c r="I538" t="str">
        <f>IF(TBL[[#This Row],[Age]]&gt;=60, "Old", IF(TBL[[#This Row],[Age]]&gt;=30, "Adult", "Young"))</f>
        <v>Adult</v>
      </c>
      <c r="J538" s="1">
        <v>44519</v>
      </c>
      <c r="K538">
        <f t="shared" si="8"/>
        <v>2021</v>
      </c>
      <c r="L538">
        <f>MONTH(TBL[[#This Row],[Hire Date]])</f>
        <v>11</v>
      </c>
      <c r="M538" s="7">
        <v>111006</v>
      </c>
      <c r="N538" s="8">
        <v>0.08</v>
      </c>
      <c r="O538" t="s">
        <v>33</v>
      </c>
      <c r="P538" t="s">
        <v>80</v>
      </c>
      <c r="Q538" s="1" t="s">
        <v>21</v>
      </c>
    </row>
    <row r="539" spans="1:17" x14ac:dyDescent="0.35">
      <c r="A539" t="s">
        <v>1265</v>
      </c>
      <c r="B539" t="s">
        <v>1266</v>
      </c>
      <c r="C539" t="s">
        <v>38</v>
      </c>
      <c r="D539" t="s">
        <v>27</v>
      </c>
      <c r="E539" t="s">
        <v>32</v>
      </c>
      <c r="F539" t="s">
        <v>28</v>
      </c>
      <c r="G539" t="s">
        <v>24</v>
      </c>
      <c r="H539">
        <v>55</v>
      </c>
      <c r="I539" t="str">
        <f>IF(TBL[[#This Row],[Age]]&gt;=60, "Old", IF(TBL[[#This Row],[Age]]&gt;=30, "Adult", "Young"))</f>
        <v>Adult</v>
      </c>
      <c r="J539" s="1">
        <v>34692</v>
      </c>
      <c r="K539">
        <f t="shared" si="8"/>
        <v>1994</v>
      </c>
      <c r="L539">
        <f>MONTH(TBL[[#This Row],[Hire Date]])</f>
        <v>12</v>
      </c>
      <c r="M539" s="7">
        <v>99774</v>
      </c>
      <c r="N539" s="8">
        <v>0</v>
      </c>
      <c r="O539" t="s">
        <v>19</v>
      </c>
      <c r="P539" t="s">
        <v>25</v>
      </c>
      <c r="Q539" s="1" t="s">
        <v>21</v>
      </c>
    </row>
    <row r="540" spans="1:17" x14ac:dyDescent="0.35">
      <c r="A540" t="s">
        <v>1267</v>
      </c>
      <c r="B540" t="s">
        <v>212</v>
      </c>
      <c r="C540" t="s">
        <v>40</v>
      </c>
      <c r="D540" t="s">
        <v>27</v>
      </c>
      <c r="E540" t="s">
        <v>16</v>
      </c>
      <c r="F540" t="s">
        <v>28</v>
      </c>
      <c r="G540" t="s">
        <v>24</v>
      </c>
      <c r="H540">
        <v>55</v>
      </c>
      <c r="I540" t="str">
        <f>IF(TBL[[#This Row],[Age]]&gt;=60, "Old", IF(TBL[[#This Row],[Age]]&gt;=30, "Adult", "Young"))</f>
        <v>Adult</v>
      </c>
      <c r="J540" s="1">
        <v>39154</v>
      </c>
      <c r="K540">
        <f t="shared" si="8"/>
        <v>2007</v>
      </c>
      <c r="L540">
        <f>MONTH(TBL[[#This Row],[Hire Date]])</f>
        <v>3</v>
      </c>
      <c r="M540" s="7">
        <v>184648</v>
      </c>
      <c r="N540" s="8">
        <v>0.24</v>
      </c>
      <c r="O540" t="s">
        <v>33</v>
      </c>
      <c r="P540" t="s">
        <v>74</v>
      </c>
      <c r="Q540" s="1" t="s">
        <v>21</v>
      </c>
    </row>
    <row r="541" spans="1:17" x14ac:dyDescent="0.35">
      <c r="A541" t="s">
        <v>359</v>
      </c>
      <c r="B541" t="s">
        <v>1268</v>
      </c>
      <c r="C541" t="s">
        <v>14</v>
      </c>
      <c r="D541" t="s">
        <v>27</v>
      </c>
      <c r="E541" t="s">
        <v>36</v>
      </c>
      <c r="F541" t="s">
        <v>28</v>
      </c>
      <c r="G541" t="s">
        <v>51</v>
      </c>
      <c r="H541">
        <v>51</v>
      </c>
      <c r="I541" t="str">
        <f>IF(TBL[[#This Row],[Age]]&gt;=60, "Old", IF(TBL[[#This Row],[Age]]&gt;=30, "Adult", "Young"))</f>
        <v>Adult</v>
      </c>
      <c r="J541" s="1">
        <v>37091</v>
      </c>
      <c r="K541">
        <f t="shared" si="8"/>
        <v>2001</v>
      </c>
      <c r="L541">
        <f>MONTH(TBL[[#This Row],[Hire Date]])</f>
        <v>7</v>
      </c>
      <c r="M541" s="7">
        <v>247874</v>
      </c>
      <c r="N541" s="8">
        <v>0.33</v>
      </c>
      <c r="O541" t="s">
        <v>52</v>
      </c>
      <c r="P541" t="s">
        <v>81</v>
      </c>
      <c r="Q541" s="1" t="s">
        <v>21</v>
      </c>
    </row>
    <row r="542" spans="1:17" x14ac:dyDescent="0.35">
      <c r="A542" t="s">
        <v>338</v>
      </c>
      <c r="B542" t="s">
        <v>1269</v>
      </c>
      <c r="C542" t="s">
        <v>86</v>
      </c>
      <c r="D542" t="s">
        <v>31</v>
      </c>
      <c r="E542" t="s">
        <v>36</v>
      </c>
      <c r="F542" t="s">
        <v>28</v>
      </c>
      <c r="G542" t="s">
        <v>24</v>
      </c>
      <c r="H542">
        <v>60</v>
      </c>
      <c r="I542" t="str">
        <f>IF(TBL[[#This Row],[Age]]&gt;=60, "Old", IF(TBL[[#This Row],[Age]]&gt;=30, "Adult", "Young"))</f>
        <v>Old</v>
      </c>
      <c r="J542" s="1">
        <v>39944</v>
      </c>
      <c r="K542">
        <f t="shared" si="8"/>
        <v>2009</v>
      </c>
      <c r="L542">
        <f>MONTH(TBL[[#This Row],[Hire Date]])</f>
        <v>5</v>
      </c>
      <c r="M542" s="7">
        <v>62239</v>
      </c>
      <c r="N542" s="8">
        <v>0</v>
      </c>
      <c r="O542" t="s">
        <v>33</v>
      </c>
      <c r="P542" t="s">
        <v>60</v>
      </c>
      <c r="Q542" s="1" t="s">
        <v>21</v>
      </c>
    </row>
    <row r="543" spans="1:17" x14ac:dyDescent="0.35">
      <c r="A543" t="s">
        <v>371</v>
      </c>
      <c r="B543" t="s">
        <v>376</v>
      </c>
      <c r="C543" t="s">
        <v>62</v>
      </c>
      <c r="D543" t="s">
        <v>65</v>
      </c>
      <c r="E543" t="s">
        <v>44</v>
      </c>
      <c r="F543" t="s">
        <v>17</v>
      </c>
      <c r="G543" t="s">
        <v>18</v>
      </c>
      <c r="H543">
        <v>31</v>
      </c>
      <c r="I543" t="str">
        <f>IF(TBL[[#This Row],[Age]]&gt;=60, "Old", IF(TBL[[#This Row],[Age]]&gt;=30, "Adult", "Young"))</f>
        <v>Adult</v>
      </c>
      <c r="J543" s="1">
        <v>41919</v>
      </c>
      <c r="K543">
        <f t="shared" si="8"/>
        <v>2014</v>
      </c>
      <c r="L543">
        <f>MONTH(TBL[[#This Row],[Hire Date]])</f>
        <v>10</v>
      </c>
      <c r="M543" s="7">
        <v>114911</v>
      </c>
      <c r="N543" s="8">
        <v>7.0000000000000007E-2</v>
      </c>
      <c r="O543" t="s">
        <v>19</v>
      </c>
      <c r="P543" t="s">
        <v>20</v>
      </c>
      <c r="Q543" s="1" t="s">
        <v>21</v>
      </c>
    </row>
    <row r="544" spans="1:17" x14ac:dyDescent="0.35">
      <c r="A544" t="s">
        <v>192</v>
      </c>
      <c r="B544" t="s">
        <v>1270</v>
      </c>
      <c r="C544" t="s">
        <v>97</v>
      </c>
      <c r="D544" t="s">
        <v>31</v>
      </c>
      <c r="E544" t="s">
        <v>32</v>
      </c>
      <c r="F544" t="s">
        <v>28</v>
      </c>
      <c r="G544" t="s">
        <v>51</v>
      </c>
      <c r="H544">
        <v>45</v>
      </c>
      <c r="I544" t="str">
        <f>IF(TBL[[#This Row],[Age]]&gt;=60, "Old", IF(TBL[[#This Row],[Age]]&gt;=30, "Adult", "Young"))</f>
        <v>Adult</v>
      </c>
      <c r="J544" s="1">
        <v>43217</v>
      </c>
      <c r="K544">
        <f t="shared" si="8"/>
        <v>2018</v>
      </c>
      <c r="L544">
        <f>MONTH(TBL[[#This Row],[Hire Date]])</f>
        <v>4</v>
      </c>
      <c r="M544" s="7">
        <v>115490</v>
      </c>
      <c r="N544" s="8">
        <v>0.12</v>
      </c>
      <c r="O544" t="s">
        <v>19</v>
      </c>
      <c r="P544" t="s">
        <v>20</v>
      </c>
      <c r="Q544" s="1" t="s">
        <v>21</v>
      </c>
    </row>
    <row r="545" spans="1:17" x14ac:dyDescent="0.35">
      <c r="A545" t="s">
        <v>1271</v>
      </c>
      <c r="B545" t="s">
        <v>1272</v>
      </c>
      <c r="C545" t="s">
        <v>62</v>
      </c>
      <c r="D545" t="s">
        <v>65</v>
      </c>
      <c r="E545" t="s">
        <v>44</v>
      </c>
      <c r="F545" t="s">
        <v>28</v>
      </c>
      <c r="G545" t="s">
        <v>24</v>
      </c>
      <c r="H545">
        <v>34</v>
      </c>
      <c r="I545" t="str">
        <f>IF(TBL[[#This Row],[Age]]&gt;=60, "Old", IF(TBL[[#This Row],[Age]]&gt;=30, "Adult", "Young"))</f>
        <v>Adult</v>
      </c>
      <c r="J545" s="1">
        <v>40952</v>
      </c>
      <c r="K545">
        <f t="shared" si="8"/>
        <v>2012</v>
      </c>
      <c r="L545">
        <f>MONTH(TBL[[#This Row],[Hire Date]])</f>
        <v>2</v>
      </c>
      <c r="M545" s="7">
        <v>118708</v>
      </c>
      <c r="N545" s="8">
        <v>7.0000000000000007E-2</v>
      </c>
      <c r="O545" t="s">
        <v>33</v>
      </c>
      <c r="P545" t="s">
        <v>74</v>
      </c>
      <c r="Q545" s="1" t="s">
        <v>21</v>
      </c>
    </row>
    <row r="546" spans="1:17" x14ac:dyDescent="0.35">
      <c r="A546" t="s">
        <v>1273</v>
      </c>
      <c r="B546" t="s">
        <v>1274</v>
      </c>
      <c r="C546" t="s">
        <v>40</v>
      </c>
      <c r="D546" t="s">
        <v>65</v>
      </c>
      <c r="E546" t="s">
        <v>44</v>
      </c>
      <c r="F546" t="s">
        <v>17</v>
      </c>
      <c r="G546" t="s">
        <v>24</v>
      </c>
      <c r="H546">
        <v>29</v>
      </c>
      <c r="I546" t="str">
        <f>IF(TBL[[#This Row],[Age]]&gt;=60, "Old", IF(TBL[[#This Row],[Age]]&gt;=30, "Adult", "Young"))</f>
        <v>Young</v>
      </c>
      <c r="J546" s="1">
        <v>42914</v>
      </c>
      <c r="K546">
        <f t="shared" si="8"/>
        <v>2017</v>
      </c>
      <c r="L546">
        <f>MONTH(TBL[[#This Row],[Hire Date]])</f>
        <v>6</v>
      </c>
      <c r="M546" s="7">
        <v>197649</v>
      </c>
      <c r="N546" s="8">
        <v>0.2</v>
      </c>
      <c r="O546" t="s">
        <v>19</v>
      </c>
      <c r="P546" t="s">
        <v>29</v>
      </c>
      <c r="Q546" s="1" t="s">
        <v>21</v>
      </c>
    </row>
    <row r="547" spans="1:17" x14ac:dyDescent="0.35">
      <c r="A547" t="s">
        <v>337</v>
      </c>
      <c r="B547" t="s">
        <v>1275</v>
      </c>
      <c r="C547" t="s">
        <v>42</v>
      </c>
      <c r="D547" t="s">
        <v>65</v>
      </c>
      <c r="E547" t="s">
        <v>44</v>
      </c>
      <c r="F547" t="s">
        <v>17</v>
      </c>
      <c r="G547" t="s">
        <v>24</v>
      </c>
      <c r="H547">
        <v>45</v>
      </c>
      <c r="I547" t="str">
        <f>IF(TBL[[#This Row],[Age]]&gt;=60, "Old", IF(TBL[[#This Row],[Age]]&gt;=30, "Adult", "Young"))</f>
        <v>Adult</v>
      </c>
      <c r="J547" s="1">
        <v>43999</v>
      </c>
      <c r="K547">
        <f t="shared" si="8"/>
        <v>2020</v>
      </c>
      <c r="L547">
        <f>MONTH(TBL[[#This Row],[Hire Date]])</f>
        <v>6</v>
      </c>
      <c r="M547" s="7">
        <v>89841</v>
      </c>
      <c r="N547" s="8">
        <v>0</v>
      </c>
      <c r="O547" t="s">
        <v>33</v>
      </c>
      <c r="P547" t="s">
        <v>60</v>
      </c>
      <c r="Q547" s="1" t="s">
        <v>21</v>
      </c>
    </row>
    <row r="548" spans="1:17" x14ac:dyDescent="0.35">
      <c r="A548" t="s">
        <v>572</v>
      </c>
      <c r="B548" t="s">
        <v>1276</v>
      </c>
      <c r="C548" t="s">
        <v>64</v>
      </c>
      <c r="D548" t="s">
        <v>15</v>
      </c>
      <c r="E548" t="s">
        <v>44</v>
      </c>
      <c r="F548" t="s">
        <v>17</v>
      </c>
      <c r="G548" t="s">
        <v>18</v>
      </c>
      <c r="H548">
        <v>52</v>
      </c>
      <c r="I548" t="str">
        <f>IF(TBL[[#This Row],[Age]]&gt;=60, "Old", IF(TBL[[#This Row],[Age]]&gt;=30, "Adult", "Young"))</f>
        <v>Adult</v>
      </c>
      <c r="J548" s="1">
        <v>43819</v>
      </c>
      <c r="K548">
        <f t="shared" si="8"/>
        <v>2019</v>
      </c>
      <c r="L548">
        <f>MONTH(TBL[[#This Row],[Hire Date]])</f>
        <v>12</v>
      </c>
      <c r="M548" s="7">
        <v>61026</v>
      </c>
      <c r="N548" s="8">
        <v>0</v>
      </c>
      <c r="O548" t="s">
        <v>19</v>
      </c>
      <c r="P548" t="s">
        <v>39</v>
      </c>
      <c r="Q548" s="1" t="s">
        <v>21</v>
      </c>
    </row>
    <row r="549" spans="1:17" x14ac:dyDescent="0.35">
      <c r="A549" t="s">
        <v>1277</v>
      </c>
      <c r="B549" t="s">
        <v>1278</v>
      </c>
      <c r="C549" t="s">
        <v>84</v>
      </c>
      <c r="D549" t="s">
        <v>31</v>
      </c>
      <c r="E549" t="s">
        <v>44</v>
      </c>
      <c r="F549" t="s">
        <v>17</v>
      </c>
      <c r="G549" t="s">
        <v>18</v>
      </c>
      <c r="H549">
        <v>48</v>
      </c>
      <c r="I549" t="str">
        <f>IF(TBL[[#This Row],[Age]]&gt;=60, "Old", IF(TBL[[#This Row],[Age]]&gt;=30, "Adult", "Young"))</f>
        <v>Adult</v>
      </c>
      <c r="J549" s="1">
        <v>41907</v>
      </c>
      <c r="K549">
        <f t="shared" si="8"/>
        <v>2014</v>
      </c>
      <c r="L549">
        <f>MONTH(TBL[[#This Row],[Hire Date]])</f>
        <v>9</v>
      </c>
      <c r="M549" s="7">
        <v>96693</v>
      </c>
      <c r="N549" s="8">
        <v>0</v>
      </c>
      <c r="O549" t="s">
        <v>19</v>
      </c>
      <c r="P549" t="s">
        <v>20</v>
      </c>
      <c r="Q549" s="1" t="s">
        <v>21</v>
      </c>
    </row>
    <row r="550" spans="1:17" x14ac:dyDescent="0.35">
      <c r="A550" t="s">
        <v>1279</v>
      </c>
      <c r="B550" t="s">
        <v>1280</v>
      </c>
      <c r="C550" t="s">
        <v>58</v>
      </c>
      <c r="D550" t="s">
        <v>31</v>
      </c>
      <c r="E550" t="s">
        <v>44</v>
      </c>
      <c r="F550" t="s">
        <v>17</v>
      </c>
      <c r="G550" t="s">
        <v>51</v>
      </c>
      <c r="H550">
        <v>48</v>
      </c>
      <c r="I550" t="str">
        <f>IF(TBL[[#This Row],[Age]]&gt;=60, "Old", IF(TBL[[#This Row],[Age]]&gt;=30, "Adult", "Young"))</f>
        <v>Adult</v>
      </c>
      <c r="J550" s="1">
        <v>39991</v>
      </c>
      <c r="K550">
        <f t="shared" si="8"/>
        <v>2009</v>
      </c>
      <c r="L550">
        <f>MONTH(TBL[[#This Row],[Hire Date]])</f>
        <v>6</v>
      </c>
      <c r="M550" s="7">
        <v>82907</v>
      </c>
      <c r="N550" s="8">
        <v>0</v>
      </c>
      <c r="O550" t="s">
        <v>19</v>
      </c>
      <c r="P550" t="s">
        <v>63</v>
      </c>
      <c r="Q550" s="1" t="s">
        <v>21</v>
      </c>
    </row>
    <row r="551" spans="1:17" x14ac:dyDescent="0.35">
      <c r="A551" t="s">
        <v>330</v>
      </c>
      <c r="B551" t="s">
        <v>1281</v>
      </c>
      <c r="C551" t="s">
        <v>14</v>
      </c>
      <c r="D551" t="s">
        <v>43</v>
      </c>
      <c r="E551" t="s">
        <v>32</v>
      </c>
      <c r="F551" t="s">
        <v>28</v>
      </c>
      <c r="G551" t="s">
        <v>24</v>
      </c>
      <c r="H551">
        <v>41</v>
      </c>
      <c r="I551" t="str">
        <f>IF(TBL[[#This Row],[Age]]&gt;=60, "Old", IF(TBL[[#This Row],[Age]]&gt;=30, "Adult", "Young"))</f>
        <v>Adult</v>
      </c>
      <c r="J551" s="1">
        <v>41916</v>
      </c>
      <c r="K551">
        <f t="shared" si="8"/>
        <v>2014</v>
      </c>
      <c r="L551">
        <f>MONTH(TBL[[#This Row],[Hire Date]])</f>
        <v>10</v>
      </c>
      <c r="M551" s="7">
        <v>257194</v>
      </c>
      <c r="N551" s="8">
        <v>0.35</v>
      </c>
      <c r="O551" t="s">
        <v>33</v>
      </c>
      <c r="P551" t="s">
        <v>80</v>
      </c>
      <c r="Q551" s="1" t="s">
        <v>21</v>
      </c>
    </row>
    <row r="552" spans="1:17" x14ac:dyDescent="0.35">
      <c r="A552" t="s">
        <v>1282</v>
      </c>
      <c r="B552" t="s">
        <v>1283</v>
      </c>
      <c r="C552" t="s">
        <v>30</v>
      </c>
      <c r="D552" t="s">
        <v>31</v>
      </c>
      <c r="E552" t="s">
        <v>16</v>
      </c>
      <c r="F552" t="s">
        <v>28</v>
      </c>
      <c r="G552" t="s">
        <v>51</v>
      </c>
      <c r="H552">
        <v>41</v>
      </c>
      <c r="I552" t="str">
        <f>IF(TBL[[#This Row],[Age]]&gt;=60, "Old", IF(TBL[[#This Row],[Age]]&gt;=30, "Adult", "Young"))</f>
        <v>Adult</v>
      </c>
      <c r="J552" s="1">
        <v>40929</v>
      </c>
      <c r="K552">
        <f t="shared" si="8"/>
        <v>2012</v>
      </c>
      <c r="L552">
        <f>MONTH(TBL[[#This Row],[Hire Date]])</f>
        <v>1</v>
      </c>
      <c r="M552" s="7">
        <v>94658</v>
      </c>
      <c r="N552" s="8">
        <v>0</v>
      </c>
      <c r="O552" t="s">
        <v>19</v>
      </c>
      <c r="P552" t="s">
        <v>45</v>
      </c>
      <c r="Q552" s="1" t="s">
        <v>21</v>
      </c>
    </row>
    <row r="553" spans="1:17" x14ac:dyDescent="0.35">
      <c r="A553" t="s">
        <v>1284</v>
      </c>
      <c r="B553" t="s">
        <v>1285</v>
      </c>
      <c r="C553" t="s">
        <v>30</v>
      </c>
      <c r="D553" t="s">
        <v>31</v>
      </c>
      <c r="E553" t="s">
        <v>16</v>
      </c>
      <c r="F553" t="s">
        <v>28</v>
      </c>
      <c r="G553" t="s">
        <v>24</v>
      </c>
      <c r="H553">
        <v>55</v>
      </c>
      <c r="I553" t="str">
        <f>IF(TBL[[#This Row],[Age]]&gt;=60, "Old", IF(TBL[[#This Row],[Age]]&gt;=30, "Adult", "Young"))</f>
        <v>Adult</v>
      </c>
      <c r="J553" s="1">
        <v>40663</v>
      </c>
      <c r="K553">
        <f t="shared" si="8"/>
        <v>2011</v>
      </c>
      <c r="L553">
        <f>MONTH(TBL[[#This Row],[Hire Date]])</f>
        <v>4</v>
      </c>
      <c r="M553" s="7">
        <v>89419</v>
      </c>
      <c r="N553" s="8">
        <v>0</v>
      </c>
      <c r="O553" t="s">
        <v>33</v>
      </c>
      <c r="P553" t="s">
        <v>74</v>
      </c>
      <c r="Q553" s="1" t="s">
        <v>21</v>
      </c>
    </row>
    <row r="554" spans="1:17" x14ac:dyDescent="0.35">
      <c r="A554" t="s">
        <v>119</v>
      </c>
      <c r="B554" t="s">
        <v>1286</v>
      </c>
      <c r="C554" t="s">
        <v>22</v>
      </c>
      <c r="D554" t="s">
        <v>23</v>
      </c>
      <c r="E554" t="s">
        <v>36</v>
      </c>
      <c r="F554" t="s">
        <v>28</v>
      </c>
      <c r="G554" t="s">
        <v>47</v>
      </c>
      <c r="H554">
        <v>45</v>
      </c>
      <c r="I554" t="str">
        <f>IF(TBL[[#This Row],[Age]]&gt;=60, "Old", IF(TBL[[#This Row],[Age]]&gt;=30, "Adult", "Young"))</f>
        <v>Adult</v>
      </c>
      <c r="J554" s="1">
        <v>42357</v>
      </c>
      <c r="K554">
        <f t="shared" si="8"/>
        <v>2015</v>
      </c>
      <c r="L554">
        <f>MONTH(TBL[[#This Row],[Hire Date]])</f>
        <v>12</v>
      </c>
      <c r="M554" s="7">
        <v>51983</v>
      </c>
      <c r="N554" s="8">
        <v>0</v>
      </c>
      <c r="O554" t="s">
        <v>19</v>
      </c>
      <c r="P554" t="s">
        <v>29</v>
      </c>
      <c r="Q554" s="1" t="s">
        <v>21</v>
      </c>
    </row>
    <row r="555" spans="1:17" x14ac:dyDescent="0.35">
      <c r="A555" t="s">
        <v>1287</v>
      </c>
      <c r="B555" t="s">
        <v>1288</v>
      </c>
      <c r="C555" t="s">
        <v>40</v>
      </c>
      <c r="D555" t="s">
        <v>15</v>
      </c>
      <c r="E555" t="s">
        <v>32</v>
      </c>
      <c r="F555" t="s">
        <v>17</v>
      </c>
      <c r="G555" t="s">
        <v>24</v>
      </c>
      <c r="H555">
        <v>53</v>
      </c>
      <c r="I555" t="str">
        <f>IF(TBL[[#This Row],[Age]]&gt;=60, "Old", IF(TBL[[#This Row],[Age]]&gt;=30, "Adult", "Young"))</f>
        <v>Adult</v>
      </c>
      <c r="J555" s="1">
        <v>37304</v>
      </c>
      <c r="K555">
        <f t="shared" si="8"/>
        <v>2002</v>
      </c>
      <c r="L555">
        <f>MONTH(TBL[[#This Row],[Hire Date]])</f>
        <v>2</v>
      </c>
      <c r="M555" s="7">
        <v>179494</v>
      </c>
      <c r="N555" s="8">
        <v>0.2</v>
      </c>
      <c r="O555" t="s">
        <v>33</v>
      </c>
      <c r="P555" t="s">
        <v>80</v>
      </c>
      <c r="Q555" s="1" t="s">
        <v>21</v>
      </c>
    </row>
    <row r="556" spans="1:17" x14ac:dyDescent="0.35">
      <c r="A556" t="s">
        <v>323</v>
      </c>
      <c r="B556" t="s">
        <v>1289</v>
      </c>
      <c r="C556" t="s">
        <v>91</v>
      </c>
      <c r="D556" t="s">
        <v>27</v>
      </c>
      <c r="E556" t="s">
        <v>32</v>
      </c>
      <c r="F556" t="s">
        <v>28</v>
      </c>
      <c r="G556" t="s">
        <v>51</v>
      </c>
      <c r="H556">
        <v>49</v>
      </c>
      <c r="I556" t="str">
        <f>IF(TBL[[#This Row],[Age]]&gt;=60, "Old", IF(TBL[[#This Row],[Age]]&gt;=30, "Adult", "Young"))</f>
        <v>Adult</v>
      </c>
      <c r="J556" s="1">
        <v>42545</v>
      </c>
      <c r="K556">
        <f t="shared" si="8"/>
        <v>2016</v>
      </c>
      <c r="L556">
        <f>MONTH(TBL[[#This Row],[Hire Date]])</f>
        <v>6</v>
      </c>
      <c r="M556" s="7">
        <v>68426</v>
      </c>
      <c r="N556" s="8">
        <v>0</v>
      </c>
      <c r="O556" t="s">
        <v>52</v>
      </c>
      <c r="P556" t="s">
        <v>66</v>
      </c>
      <c r="Q556" s="1" t="s">
        <v>21</v>
      </c>
    </row>
    <row r="557" spans="1:17" x14ac:dyDescent="0.35">
      <c r="A557" t="s">
        <v>398</v>
      </c>
      <c r="B557" t="s">
        <v>1290</v>
      </c>
      <c r="C557" t="s">
        <v>61</v>
      </c>
      <c r="D557" t="s">
        <v>15</v>
      </c>
      <c r="E557" t="s">
        <v>32</v>
      </c>
      <c r="F557" t="s">
        <v>17</v>
      </c>
      <c r="G557" t="s">
        <v>51</v>
      </c>
      <c r="H557">
        <v>55</v>
      </c>
      <c r="I557" t="str">
        <f>IF(TBL[[#This Row],[Age]]&gt;=60, "Old", IF(TBL[[#This Row],[Age]]&gt;=30, "Adult", "Young"))</f>
        <v>Adult</v>
      </c>
      <c r="J557" s="1">
        <v>42772</v>
      </c>
      <c r="K557">
        <f t="shared" si="8"/>
        <v>2017</v>
      </c>
      <c r="L557">
        <f>MONTH(TBL[[#This Row],[Hire Date]])</f>
        <v>2</v>
      </c>
      <c r="M557" s="7">
        <v>144986</v>
      </c>
      <c r="N557" s="8">
        <v>0.12</v>
      </c>
      <c r="O557" t="s">
        <v>19</v>
      </c>
      <c r="P557" t="s">
        <v>39</v>
      </c>
      <c r="Q557" s="1" t="s">
        <v>21</v>
      </c>
    </row>
    <row r="558" spans="1:17" x14ac:dyDescent="0.35">
      <c r="A558" t="s">
        <v>385</v>
      </c>
      <c r="B558" t="s">
        <v>1291</v>
      </c>
      <c r="C558" t="s">
        <v>94</v>
      </c>
      <c r="D558" t="s">
        <v>50</v>
      </c>
      <c r="E558" t="s">
        <v>44</v>
      </c>
      <c r="F558" t="s">
        <v>17</v>
      </c>
      <c r="G558" t="s">
        <v>24</v>
      </c>
      <c r="H558">
        <v>45</v>
      </c>
      <c r="I558" t="str">
        <f>IF(TBL[[#This Row],[Age]]&gt;=60, "Old", IF(TBL[[#This Row],[Age]]&gt;=30, "Adult", "Young"))</f>
        <v>Adult</v>
      </c>
      <c r="J558" s="1">
        <v>36754</v>
      </c>
      <c r="K558">
        <f t="shared" si="8"/>
        <v>2000</v>
      </c>
      <c r="L558">
        <f>MONTH(TBL[[#This Row],[Hire Date]])</f>
        <v>8</v>
      </c>
      <c r="M558" s="7">
        <v>60113</v>
      </c>
      <c r="N558" s="8">
        <v>0</v>
      </c>
      <c r="O558" t="s">
        <v>19</v>
      </c>
      <c r="P558" t="s">
        <v>20</v>
      </c>
      <c r="Q558" s="1" t="s">
        <v>21</v>
      </c>
    </row>
    <row r="559" spans="1:17" x14ac:dyDescent="0.35">
      <c r="A559" t="s">
        <v>558</v>
      </c>
      <c r="B559" t="s">
        <v>1292</v>
      </c>
      <c r="C559" t="s">
        <v>22</v>
      </c>
      <c r="D559" t="s">
        <v>23</v>
      </c>
      <c r="E559" t="s">
        <v>16</v>
      </c>
      <c r="F559" t="s">
        <v>17</v>
      </c>
      <c r="G559" t="s">
        <v>51</v>
      </c>
      <c r="H559">
        <v>52</v>
      </c>
      <c r="I559" t="str">
        <f>IF(TBL[[#This Row],[Age]]&gt;=60, "Old", IF(TBL[[#This Row],[Age]]&gt;=30, "Adult", "Young"))</f>
        <v>Adult</v>
      </c>
      <c r="J559" s="1">
        <v>44304</v>
      </c>
      <c r="K559">
        <f t="shared" si="8"/>
        <v>2021</v>
      </c>
      <c r="L559">
        <f>MONTH(TBL[[#This Row],[Hire Date]])</f>
        <v>4</v>
      </c>
      <c r="M559" s="7">
        <v>50548</v>
      </c>
      <c r="N559" s="8">
        <v>0</v>
      </c>
      <c r="O559" t="s">
        <v>52</v>
      </c>
      <c r="P559" t="s">
        <v>53</v>
      </c>
      <c r="Q559" s="1" t="s">
        <v>21</v>
      </c>
    </row>
    <row r="560" spans="1:17" x14ac:dyDescent="0.35">
      <c r="A560" t="s">
        <v>93</v>
      </c>
      <c r="B560" t="s">
        <v>1293</v>
      </c>
      <c r="C560" t="s">
        <v>64</v>
      </c>
      <c r="D560" t="s">
        <v>43</v>
      </c>
      <c r="E560" t="s">
        <v>36</v>
      </c>
      <c r="F560" t="s">
        <v>17</v>
      </c>
      <c r="G560" t="s">
        <v>18</v>
      </c>
      <c r="H560">
        <v>33</v>
      </c>
      <c r="I560" t="str">
        <f>IF(TBL[[#This Row],[Age]]&gt;=60, "Old", IF(TBL[[#This Row],[Age]]&gt;=30, "Adult", "Young"))</f>
        <v>Adult</v>
      </c>
      <c r="J560" s="1">
        <v>43904</v>
      </c>
      <c r="K560">
        <f t="shared" si="8"/>
        <v>2020</v>
      </c>
      <c r="L560">
        <f>MONTH(TBL[[#This Row],[Hire Date]])</f>
        <v>3</v>
      </c>
      <c r="M560" s="7">
        <v>68846</v>
      </c>
      <c r="N560" s="8">
        <v>0</v>
      </c>
      <c r="O560" t="s">
        <v>19</v>
      </c>
      <c r="P560" t="s">
        <v>20</v>
      </c>
      <c r="Q560" s="1" t="s">
        <v>21</v>
      </c>
    </row>
    <row r="561" spans="1:17" x14ac:dyDescent="0.35">
      <c r="A561" t="s">
        <v>787</v>
      </c>
      <c r="B561" t="s">
        <v>1294</v>
      </c>
      <c r="C561" t="s">
        <v>88</v>
      </c>
      <c r="D561" t="s">
        <v>27</v>
      </c>
      <c r="E561" t="s">
        <v>32</v>
      </c>
      <c r="F561" t="s">
        <v>17</v>
      </c>
      <c r="G561" t="s">
        <v>51</v>
      </c>
      <c r="H561">
        <v>59</v>
      </c>
      <c r="I561" t="str">
        <f>IF(TBL[[#This Row],[Age]]&gt;=60, "Old", IF(TBL[[#This Row],[Age]]&gt;=30, "Adult", "Young"))</f>
        <v>Adult</v>
      </c>
      <c r="J561" s="1">
        <v>41717</v>
      </c>
      <c r="K561">
        <f t="shared" si="8"/>
        <v>2014</v>
      </c>
      <c r="L561">
        <f>MONTH(TBL[[#This Row],[Hire Date]])</f>
        <v>3</v>
      </c>
      <c r="M561" s="7">
        <v>90901</v>
      </c>
      <c r="N561" s="8">
        <v>0</v>
      </c>
      <c r="O561" t="s">
        <v>19</v>
      </c>
      <c r="P561" t="s">
        <v>63</v>
      </c>
      <c r="Q561" s="1" t="s">
        <v>21</v>
      </c>
    </row>
    <row r="562" spans="1:17" x14ac:dyDescent="0.35">
      <c r="A562" t="s">
        <v>1295</v>
      </c>
      <c r="B562" t="s">
        <v>1296</v>
      </c>
      <c r="C562" t="s">
        <v>62</v>
      </c>
      <c r="D562" t="s">
        <v>65</v>
      </c>
      <c r="E562" t="s">
        <v>32</v>
      </c>
      <c r="F562" t="s">
        <v>17</v>
      </c>
      <c r="G562" t="s">
        <v>24</v>
      </c>
      <c r="H562">
        <v>50</v>
      </c>
      <c r="I562" t="str">
        <f>IF(TBL[[#This Row],[Age]]&gt;=60, "Old", IF(TBL[[#This Row],[Age]]&gt;=30, "Adult", "Young"))</f>
        <v>Adult</v>
      </c>
      <c r="J562" s="1">
        <v>41155</v>
      </c>
      <c r="K562">
        <f t="shared" si="8"/>
        <v>2012</v>
      </c>
      <c r="L562">
        <f>MONTH(TBL[[#This Row],[Hire Date]])</f>
        <v>9</v>
      </c>
      <c r="M562" s="7">
        <v>102033</v>
      </c>
      <c r="N562" s="8">
        <v>0.08</v>
      </c>
      <c r="O562" t="s">
        <v>19</v>
      </c>
      <c r="P562" t="s">
        <v>25</v>
      </c>
      <c r="Q562" s="1" t="s">
        <v>21</v>
      </c>
    </row>
    <row r="563" spans="1:17" x14ac:dyDescent="0.35">
      <c r="A563" t="s">
        <v>1297</v>
      </c>
      <c r="B563" t="s">
        <v>1298</v>
      </c>
      <c r="C563" t="s">
        <v>40</v>
      </c>
      <c r="D563" t="s">
        <v>50</v>
      </c>
      <c r="E563" t="s">
        <v>36</v>
      </c>
      <c r="F563" t="s">
        <v>17</v>
      </c>
      <c r="G563" t="s">
        <v>18</v>
      </c>
      <c r="H563">
        <v>61</v>
      </c>
      <c r="I563" t="str">
        <f>IF(TBL[[#This Row],[Age]]&gt;=60, "Old", IF(TBL[[#This Row],[Age]]&gt;=30, "Adult", "Young"))</f>
        <v>Old</v>
      </c>
      <c r="J563" s="1">
        <v>44219</v>
      </c>
      <c r="K563">
        <f t="shared" si="8"/>
        <v>2021</v>
      </c>
      <c r="L563">
        <f>MONTH(TBL[[#This Row],[Hire Date]])</f>
        <v>1</v>
      </c>
      <c r="M563" s="7">
        <v>151783</v>
      </c>
      <c r="N563" s="8">
        <v>0.26</v>
      </c>
      <c r="O563" t="s">
        <v>19</v>
      </c>
      <c r="P563" t="s">
        <v>63</v>
      </c>
      <c r="Q563" s="1" t="s">
        <v>21</v>
      </c>
    </row>
    <row r="564" spans="1:17" x14ac:dyDescent="0.35">
      <c r="A564" t="s">
        <v>388</v>
      </c>
      <c r="B564" t="s">
        <v>1299</v>
      </c>
      <c r="C564" t="s">
        <v>40</v>
      </c>
      <c r="D564" t="s">
        <v>31</v>
      </c>
      <c r="E564" t="s">
        <v>32</v>
      </c>
      <c r="F564" t="s">
        <v>17</v>
      </c>
      <c r="G564" t="s">
        <v>51</v>
      </c>
      <c r="H564">
        <v>27</v>
      </c>
      <c r="I564" t="str">
        <f>IF(TBL[[#This Row],[Age]]&gt;=60, "Old", IF(TBL[[#This Row],[Age]]&gt;=30, "Adult", "Young"))</f>
        <v>Young</v>
      </c>
      <c r="J564" s="1">
        <v>43441</v>
      </c>
      <c r="K564">
        <f t="shared" si="8"/>
        <v>2018</v>
      </c>
      <c r="L564">
        <f>MONTH(TBL[[#This Row],[Hire Date]])</f>
        <v>12</v>
      </c>
      <c r="M564" s="7">
        <v>170164</v>
      </c>
      <c r="N564" s="8">
        <v>0.17</v>
      </c>
      <c r="O564" t="s">
        <v>19</v>
      </c>
      <c r="P564" t="s">
        <v>25</v>
      </c>
      <c r="Q564" s="1" t="s">
        <v>21</v>
      </c>
    </row>
    <row r="565" spans="1:17" x14ac:dyDescent="0.35">
      <c r="A565" t="s">
        <v>123</v>
      </c>
      <c r="B565" t="s">
        <v>1300</v>
      </c>
      <c r="C565" t="s">
        <v>61</v>
      </c>
      <c r="D565" t="s">
        <v>43</v>
      </c>
      <c r="E565" t="s">
        <v>44</v>
      </c>
      <c r="F565" t="s">
        <v>17</v>
      </c>
      <c r="G565" t="s">
        <v>24</v>
      </c>
      <c r="H565">
        <v>35</v>
      </c>
      <c r="I565" t="str">
        <f>IF(TBL[[#This Row],[Age]]&gt;=60, "Old", IF(TBL[[#This Row],[Age]]&gt;=30, "Adult", "Young"))</f>
        <v>Adult</v>
      </c>
      <c r="J565" s="1">
        <v>41690</v>
      </c>
      <c r="K565">
        <f t="shared" si="8"/>
        <v>2014</v>
      </c>
      <c r="L565">
        <f>MONTH(TBL[[#This Row],[Hire Date]])</f>
        <v>2</v>
      </c>
      <c r="M565" s="7">
        <v>155905</v>
      </c>
      <c r="N565" s="8">
        <v>0.14000000000000001</v>
      </c>
      <c r="O565" t="s">
        <v>19</v>
      </c>
      <c r="P565" t="s">
        <v>39</v>
      </c>
      <c r="Q565" s="1" t="s">
        <v>21</v>
      </c>
    </row>
    <row r="566" spans="1:17" x14ac:dyDescent="0.35">
      <c r="A566" t="s">
        <v>1094</v>
      </c>
      <c r="B566" t="s">
        <v>1301</v>
      </c>
      <c r="C566" t="s">
        <v>68</v>
      </c>
      <c r="D566" t="s">
        <v>50</v>
      </c>
      <c r="E566" t="s">
        <v>32</v>
      </c>
      <c r="F566" t="s">
        <v>28</v>
      </c>
      <c r="G566" t="s">
        <v>24</v>
      </c>
      <c r="H566">
        <v>40</v>
      </c>
      <c r="I566" t="str">
        <f>IF(TBL[[#This Row],[Age]]&gt;=60, "Old", IF(TBL[[#This Row],[Age]]&gt;=30, "Adult", "Young"))</f>
        <v>Adult</v>
      </c>
      <c r="J566" s="1">
        <v>42721</v>
      </c>
      <c r="K566">
        <f t="shared" si="8"/>
        <v>2016</v>
      </c>
      <c r="L566">
        <f>MONTH(TBL[[#This Row],[Hire Date]])</f>
        <v>12</v>
      </c>
      <c r="M566" s="7">
        <v>50733</v>
      </c>
      <c r="N566" s="8">
        <v>0</v>
      </c>
      <c r="O566" t="s">
        <v>19</v>
      </c>
      <c r="P566" t="s">
        <v>45</v>
      </c>
      <c r="Q566" s="1" t="s">
        <v>21</v>
      </c>
    </row>
    <row r="567" spans="1:17" x14ac:dyDescent="0.35">
      <c r="A567" t="s">
        <v>148</v>
      </c>
      <c r="B567" t="s">
        <v>1302</v>
      </c>
      <c r="C567" t="s">
        <v>77</v>
      </c>
      <c r="D567" t="s">
        <v>23</v>
      </c>
      <c r="E567" t="s">
        <v>32</v>
      </c>
      <c r="F567" t="s">
        <v>17</v>
      </c>
      <c r="G567" t="s">
        <v>18</v>
      </c>
      <c r="H567">
        <v>30</v>
      </c>
      <c r="I567" t="str">
        <f>IF(TBL[[#This Row],[Age]]&gt;=60, "Old", IF(TBL[[#This Row],[Age]]&gt;=30, "Adult", "Young"))</f>
        <v>Adult</v>
      </c>
      <c r="J567" s="1">
        <v>42761</v>
      </c>
      <c r="K567">
        <f t="shared" si="8"/>
        <v>2017</v>
      </c>
      <c r="L567">
        <f>MONTH(TBL[[#This Row],[Hire Date]])</f>
        <v>1</v>
      </c>
      <c r="M567" s="7">
        <v>88663</v>
      </c>
      <c r="N567" s="8">
        <v>0</v>
      </c>
      <c r="O567" t="s">
        <v>19</v>
      </c>
      <c r="P567" t="s">
        <v>39</v>
      </c>
      <c r="Q567" s="1" t="s">
        <v>21</v>
      </c>
    </row>
    <row r="568" spans="1:17" x14ac:dyDescent="0.35">
      <c r="A568" t="s">
        <v>158</v>
      </c>
      <c r="B568" t="s">
        <v>1303</v>
      </c>
      <c r="C568" t="s">
        <v>129</v>
      </c>
      <c r="D568" t="s">
        <v>31</v>
      </c>
      <c r="E568" t="s">
        <v>36</v>
      </c>
      <c r="F568" t="s">
        <v>28</v>
      </c>
      <c r="G568" t="s">
        <v>24</v>
      </c>
      <c r="H568">
        <v>60</v>
      </c>
      <c r="I568" t="str">
        <f>IF(TBL[[#This Row],[Age]]&gt;=60, "Old", IF(TBL[[#This Row],[Age]]&gt;=30, "Adult", "Young"))</f>
        <v>Old</v>
      </c>
      <c r="J568" s="1">
        <v>33890</v>
      </c>
      <c r="K568">
        <f t="shared" si="8"/>
        <v>1992</v>
      </c>
      <c r="L568">
        <f>MONTH(TBL[[#This Row],[Hire Date]])</f>
        <v>10</v>
      </c>
      <c r="M568" s="7">
        <v>88213</v>
      </c>
      <c r="N568" s="8">
        <v>0</v>
      </c>
      <c r="O568" t="s">
        <v>33</v>
      </c>
      <c r="P568" t="s">
        <v>80</v>
      </c>
      <c r="Q568" s="1" t="s">
        <v>21</v>
      </c>
    </row>
    <row r="569" spans="1:17" x14ac:dyDescent="0.35">
      <c r="A569" t="s">
        <v>250</v>
      </c>
      <c r="B569" t="s">
        <v>1304</v>
      </c>
      <c r="C569" t="s">
        <v>64</v>
      </c>
      <c r="D569" t="s">
        <v>50</v>
      </c>
      <c r="E569" t="s">
        <v>44</v>
      </c>
      <c r="F569" t="s">
        <v>28</v>
      </c>
      <c r="G569" t="s">
        <v>24</v>
      </c>
      <c r="H569">
        <v>55</v>
      </c>
      <c r="I569" t="str">
        <f>IF(TBL[[#This Row],[Age]]&gt;=60, "Old", IF(TBL[[#This Row],[Age]]&gt;=30, "Adult", "Young"))</f>
        <v>Adult</v>
      </c>
      <c r="J569" s="1">
        <v>44410</v>
      </c>
      <c r="K569">
        <f t="shared" si="8"/>
        <v>2021</v>
      </c>
      <c r="L569">
        <f>MONTH(TBL[[#This Row],[Hire Date]])</f>
        <v>8</v>
      </c>
      <c r="M569" s="7">
        <v>67130</v>
      </c>
      <c r="N569" s="8">
        <v>0</v>
      </c>
      <c r="O569" t="s">
        <v>19</v>
      </c>
      <c r="P569" t="s">
        <v>45</v>
      </c>
      <c r="Q569" s="1" t="s">
        <v>21</v>
      </c>
    </row>
    <row r="570" spans="1:17" x14ac:dyDescent="0.35">
      <c r="A570" t="s">
        <v>610</v>
      </c>
      <c r="B570" t="s">
        <v>1305</v>
      </c>
      <c r="C570" t="s">
        <v>42</v>
      </c>
      <c r="D570" t="s">
        <v>15</v>
      </c>
      <c r="E570" t="s">
        <v>44</v>
      </c>
      <c r="F570" t="s">
        <v>17</v>
      </c>
      <c r="G570" t="s">
        <v>24</v>
      </c>
      <c r="H570">
        <v>33</v>
      </c>
      <c r="I570" t="str">
        <f>IF(TBL[[#This Row],[Age]]&gt;=60, "Old", IF(TBL[[#This Row],[Age]]&gt;=30, "Adult", "Young"))</f>
        <v>Adult</v>
      </c>
      <c r="J570" s="1">
        <v>42285</v>
      </c>
      <c r="K570">
        <f t="shared" si="8"/>
        <v>2015</v>
      </c>
      <c r="L570">
        <f>MONTH(TBL[[#This Row],[Hire Date]])</f>
        <v>10</v>
      </c>
      <c r="M570" s="7">
        <v>94876</v>
      </c>
      <c r="N570" s="8">
        <v>0</v>
      </c>
      <c r="O570" t="s">
        <v>19</v>
      </c>
      <c r="P570" t="s">
        <v>45</v>
      </c>
      <c r="Q570" s="1" t="s">
        <v>21</v>
      </c>
    </row>
    <row r="571" spans="1:17" x14ac:dyDescent="0.35">
      <c r="A571" t="s">
        <v>1306</v>
      </c>
      <c r="B571" t="s">
        <v>1307</v>
      </c>
      <c r="C571" t="s">
        <v>86</v>
      </c>
      <c r="D571" t="s">
        <v>31</v>
      </c>
      <c r="E571" t="s">
        <v>44</v>
      </c>
      <c r="F571" t="s">
        <v>28</v>
      </c>
      <c r="G571" t="s">
        <v>51</v>
      </c>
      <c r="H571">
        <v>62</v>
      </c>
      <c r="I571" t="str">
        <f>IF(TBL[[#This Row],[Age]]&gt;=60, "Old", IF(TBL[[#This Row],[Age]]&gt;=30, "Adult", "Young"))</f>
        <v>Old</v>
      </c>
      <c r="J571" s="1">
        <v>34616</v>
      </c>
      <c r="K571">
        <f t="shared" si="8"/>
        <v>1994</v>
      </c>
      <c r="L571">
        <f>MONTH(TBL[[#This Row],[Hire Date]])</f>
        <v>10</v>
      </c>
      <c r="M571" s="7">
        <v>98230</v>
      </c>
      <c r="N571" s="8">
        <v>0</v>
      </c>
      <c r="O571" t="s">
        <v>19</v>
      </c>
      <c r="P571" t="s">
        <v>45</v>
      </c>
      <c r="Q571" s="1" t="s">
        <v>21</v>
      </c>
    </row>
    <row r="572" spans="1:17" x14ac:dyDescent="0.35">
      <c r="A572" t="s">
        <v>1308</v>
      </c>
      <c r="B572" t="s">
        <v>1309</v>
      </c>
      <c r="C572" t="s">
        <v>58</v>
      </c>
      <c r="D572" t="s">
        <v>31</v>
      </c>
      <c r="E572" t="s">
        <v>16</v>
      </c>
      <c r="F572" t="s">
        <v>17</v>
      </c>
      <c r="G572" t="s">
        <v>24</v>
      </c>
      <c r="H572">
        <v>36</v>
      </c>
      <c r="I572" t="str">
        <f>IF(TBL[[#This Row],[Age]]&gt;=60, "Old", IF(TBL[[#This Row],[Age]]&gt;=30, "Adult", "Young"))</f>
        <v>Adult</v>
      </c>
      <c r="J572" s="1">
        <v>43448</v>
      </c>
      <c r="K572">
        <f t="shared" si="8"/>
        <v>2018</v>
      </c>
      <c r="L572">
        <f>MONTH(TBL[[#This Row],[Hire Date]])</f>
        <v>12</v>
      </c>
      <c r="M572" s="7">
        <v>96757</v>
      </c>
      <c r="N572" s="8">
        <v>0</v>
      </c>
      <c r="O572" t="s">
        <v>19</v>
      </c>
      <c r="P572" t="s">
        <v>29</v>
      </c>
      <c r="Q572" s="1" t="s">
        <v>21</v>
      </c>
    </row>
    <row r="573" spans="1:17" x14ac:dyDescent="0.35">
      <c r="A573" t="s">
        <v>1310</v>
      </c>
      <c r="B573" t="s">
        <v>1311</v>
      </c>
      <c r="C573" t="s">
        <v>64</v>
      </c>
      <c r="D573" t="s">
        <v>43</v>
      </c>
      <c r="E573" t="s">
        <v>36</v>
      </c>
      <c r="F573" t="s">
        <v>28</v>
      </c>
      <c r="G573" t="s">
        <v>47</v>
      </c>
      <c r="H573">
        <v>35</v>
      </c>
      <c r="I573" t="str">
        <f>IF(TBL[[#This Row],[Age]]&gt;=60, "Old", IF(TBL[[#This Row],[Age]]&gt;=30, "Adult", "Young"))</f>
        <v>Adult</v>
      </c>
      <c r="J573" s="1">
        <v>44015</v>
      </c>
      <c r="K573">
        <f t="shared" si="8"/>
        <v>2020</v>
      </c>
      <c r="L573">
        <f>MONTH(TBL[[#This Row],[Hire Date]])</f>
        <v>7</v>
      </c>
      <c r="M573" s="7">
        <v>51513</v>
      </c>
      <c r="N573" s="8">
        <v>0</v>
      </c>
      <c r="O573" t="s">
        <v>19</v>
      </c>
      <c r="P573" t="s">
        <v>29</v>
      </c>
      <c r="Q573" s="1" t="s">
        <v>21</v>
      </c>
    </row>
    <row r="574" spans="1:17" x14ac:dyDescent="0.35">
      <c r="A574" t="s">
        <v>1312</v>
      </c>
      <c r="B574" t="s">
        <v>1313</v>
      </c>
      <c r="C574" t="s">
        <v>14</v>
      </c>
      <c r="D574" t="s">
        <v>43</v>
      </c>
      <c r="E574" t="s">
        <v>32</v>
      </c>
      <c r="F574" t="s">
        <v>28</v>
      </c>
      <c r="G574" t="s">
        <v>24</v>
      </c>
      <c r="H574">
        <v>60</v>
      </c>
      <c r="I574" t="str">
        <f>IF(TBL[[#This Row],[Age]]&gt;=60, "Old", IF(TBL[[#This Row],[Age]]&gt;=30, "Adult", "Young"))</f>
        <v>Old</v>
      </c>
      <c r="J574" s="1">
        <v>39109</v>
      </c>
      <c r="K574">
        <f t="shared" si="8"/>
        <v>2007</v>
      </c>
      <c r="L574">
        <f>MONTH(TBL[[#This Row],[Hire Date]])</f>
        <v>1</v>
      </c>
      <c r="M574" s="7">
        <v>234311</v>
      </c>
      <c r="N574" s="8">
        <v>0.37</v>
      </c>
      <c r="O574" t="s">
        <v>19</v>
      </c>
      <c r="P574" t="s">
        <v>45</v>
      </c>
      <c r="Q574" s="1" t="s">
        <v>21</v>
      </c>
    </row>
    <row r="575" spans="1:17" x14ac:dyDescent="0.35">
      <c r="A575" t="s">
        <v>1314</v>
      </c>
      <c r="B575" t="s">
        <v>1315</v>
      </c>
      <c r="C575" t="s">
        <v>61</v>
      </c>
      <c r="D575" t="s">
        <v>23</v>
      </c>
      <c r="E575" t="s">
        <v>44</v>
      </c>
      <c r="F575" t="s">
        <v>17</v>
      </c>
      <c r="G575" t="s">
        <v>51</v>
      </c>
      <c r="H575">
        <v>45</v>
      </c>
      <c r="I575" t="str">
        <f>IF(TBL[[#This Row],[Age]]&gt;=60, "Old", IF(TBL[[#This Row],[Age]]&gt;=30, "Adult", "Young"))</f>
        <v>Adult</v>
      </c>
      <c r="J575" s="1">
        <v>40685</v>
      </c>
      <c r="K575">
        <f t="shared" si="8"/>
        <v>2011</v>
      </c>
      <c r="L575">
        <f>MONTH(TBL[[#This Row],[Hire Date]])</f>
        <v>5</v>
      </c>
      <c r="M575" s="7">
        <v>152353</v>
      </c>
      <c r="N575" s="8">
        <v>0.14000000000000001</v>
      </c>
      <c r="O575" t="s">
        <v>19</v>
      </c>
      <c r="P575" t="s">
        <v>63</v>
      </c>
      <c r="Q575" s="1" t="s">
        <v>21</v>
      </c>
    </row>
    <row r="576" spans="1:17" x14ac:dyDescent="0.35">
      <c r="A576" t="s">
        <v>254</v>
      </c>
      <c r="B576" t="s">
        <v>1316</v>
      </c>
      <c r="C576" t="s">
        <v>61</v>
      </c>
      <c r="D576" t="s">
        <v>65</v>
      </c>
      <c r="E576" t="s">
        <v>44</v>
      </c>
      <c r="F576" t="s">
        <v>17</v>
      </c>
      <c r="G576" t="s">
        <v>18</v>
      </c>
      <c r="H576">
        <v>48</v>
      </c>
      <c r="I576" t="str">
        <f>IF(TBL[[#This Row],[Age]]&gt;=60, "Old", IF(TBL[[#This Row],[Age]]&gt;=30, "Adult", "Young"))</f>
        <v>Adult</v>
      </c>
      <c r="J576" s="1">
        <v>40389</v>
      </c>
      <c r="K576">
        <f t="shared" si="8"/>
        <v>2010</v>
      </c>
      <c r="L576">
        <f>MONTH(TBL[[#This Row],[Hire Date]])</f>
        <v>7</v>
      </c>
      <c r="M576" s="7">
        <v>124774</v>
      </c>
      <c r="N576" s="8">
        <v>0.12</v>
      </c>
      <c r="O576" t="s">
        <v>19</v>
      </c>
      <c r="P576" t="s">
        <v>39</v>
      </c>
      <c r="Q576" s="1" t="s">
        <v>21</v>
      </c>
    </row>
    <row r="577" spans="1:17" x14ac:dyDescent="0.35">
      <c r="A577" t="s">
        <v>1085</v>
      </c>
      <c r="B577" t="s">
        <v>1317</v>
      </c>
      <c r="C577" t="s">
        <v>40</v>
      </c>
      <c r="D577" t="s">
        <v>43</v>
      </c>
      <c r="E577" t="s">
        <v>32</v>
      </c>
      <c r="F577" t="s">
        <v>17</v>
      </c>
      <c r="G577" t="s">
        <v>24</v>
      </c>
      <c r="H577">
        <v>36</v>
      </c>
      <c r="I577" t="str">
        <f>IF(TBL[[#This Row],[Age]]&gt;=60, "Old", IF(TBL[[#This Row],[Age]]&gt;=30, "Adult", "Young"))</f>
        <v>Adult</v>
      </c>
      <c r="J577" s="1">
        <v>40434</v>
      </c>
      <c r="K577">
        <f t="shared" si="8"/>
        <v>2010</v>
      </c>
      <c r="L577">
        <f>MONTH(TBL[[#This Row],[Hire Date]])</f>
        <v>9</v>
      </c>
      <c r="M577" s="7">
        <v>157070</v>
      </c>
      <c r="N577" s="8">
        <v>0.28000000000000003</v>
      </c>
      <c r="O577" t="s">
        <v>33</v>
      </c>
      <c r="P577" t="s">
        <v>80</v>
      </c>
      <c r="Q577" s="1" t="s">
        <v>21</v>
      </c>
    </row>
    <row r="578" spans="1:17" x14ac:dyDescent="0.35">
      <c r="A578" t="s">
        <v>1318</v>
      </c>
      <c r="B578" t="s">
        <v>1319</v>
      </c>
      <c r="C578" t="s">
        <v>61</v>
      </c>
      <c r="D578" t="s">
        <v>15</v>
      </c>
      <c r="E578" t="s">
        <v>44</v>
      </c>
      <c r="F578" t="s">
        <v>28</v>
      </c>
      <c r="G578" t="s">
        <v>51</v>
      </c>
      <c r="H578">
        <v>44</v>
      </c>
      <c r="I578" t="str">
        <f>IF(TBL[[#This Row],[Age]]&gt;=60, "Old", IF(TBL[[#This Row],[Age]]&gt;=30, "Adult", "Young"))</f>
        <v>Adult</v>
      </c>
      <c r="J578" s="1">
        <v>43685</v>
      </c>
      <c r="K578">
        <f t="shared" ref="K578:K641" si="9">YEAR(--J578)</f>
        <v>2019</v>
      </c>
      <c r="L578">
        <f>MONTH(TBL[[#This Row],[Hire Date]])</f>
        <v>8</v>
      </c>
      <c r="M578" s="7">
        <v>130133</v>
      </c>
      <c r="N578" s="8">
        <v>0.15</v>
      </c>
      <c r="O578" t="s">
        <v>19</v>
      </c>
      <c r="P578" t="s">
        <v>25</v>
      </c>
      <c r="Q578" s="1">
        <v>44699</v>
      </c>
    </row>
    <row r="579" spans="1:17" x14ac:dyDescent="0.35">
      <c r="A579" t="s">
        <v>1320</v>
      </c>
      <c r="B579" t="s">
        <v>237</v>
      </c>
      <c r="C579" t="s">
        <v>62</v>
      </c>
      <c r="D579" t="s">
        <v>43</v>
      </c>
      <c r="E579" t="s">
        <v>36</v>
      </c>
      <c r="F579" t="s">
        <v>17</v>
      </c>
      <c r="G579" t="s">
        <v>24</v>
      </c>
      <c r="H579">
        <v>64</v>
      </c>
      <c r="I579" t="str">
        <f>IF(TBL[[#This Row],[Age]]&gt;=60, "Old", IF(TBL[[#This Row],[Age]]&gt;=30, "Adult", "Young"))</f>
        <v>Old</v>
      </c>
      <c r="J579" s="1">
        <v>43729</v>
      </c>
      <c r="K579">
        <f t="shared" si="9"/>
        <v>2019</v>
      </c>
      <c r="L579">
        <f>MONTH(TBL[[#This Row],[Hire Date]])</f>
        <v>9</v>
      </c>
      <c r="M579" s="7">
        <v>108780</v>
      </c>
      <c r="N579" s="8">
        <v>0.06</v>
      </c>
      <c r="O579" t="s">
        <v>33</v>
      </c>
      <c r="P579" t="s">
        <v>74</v>
      </c>
      <c r="Q579" s="1" t="s">
        <v>21</v>
      </c>
    </row>
    <row r="580" spans="1:17" x14ac:dyDescent="0.35">
      <c r="A580" t="s">
        <v>1321</v>
      </c>
      <c r="B580" t="s">
        <v>1322</v>
      </c>
      <c r="C580" t="s">
        <v>40</v>
      </c>
      <c r="D580" t="s">
        <v>31</v>
      </c>
      <c r="E580" t="s">
        <v>44</v>
      </c>
      <c r="F580" t="s">
        <v>17</v>
      </c>
      <c r="G580" t="s">
        <v>24</v>
      </c>
      <c r="H580">
        <v>46</v>
      </c>
      <c r="I580" t="str">
        <f>IF(TBL[[#This Row],[Age]]&gt;=60, "Old", IF(TBL[[#This Row],[Age]]&gt;=30, "Adult", "Young"))</f>
        <v>Adult</v>
      </c>
      <c r="J580" s="1">
        <v>44125</v>
      </c>
      <c r="K580">
        <f t="shared" si="9"/>
        <v>2020</v>
      </c>
      <c r="L580">
        <f>MONTH(TBL[[#This Row],[Hire Date]])</f>
        <v>10</v>
      </c>
      <c r="M580" s="7">
        <v>151853</v>
      </c>
      <c r="N580" s="8">
        <v>0.16</v>
      </c>
      <c r="O580" t="s">
        <v>33</v>
      </c>
      <c r="P580" t="s">
        <v>34</v>
      </c>
      <c r="Q580" s="1" t="s">
        <v>21</v>
      </c>
    </row>
    <row r="581" spans="1:17" x14ac:dyDescent="0.35">
      <c r="A581" t="s">
        <v>1323</v>
      </c>
      <c r="B581" t="s">
        <v>1324</v>
      </c>
      <c r="C581" t="s">
        <v>94</v>
      </c>
      <c r="D581" t="s">
        <v>50</v>
      </c>
      <c r="E581" t="s">
        <v>36</v>
      </c>
      <c r="F581" t="s">
        <v>17</v>
      </c>
      <c r="G581" t="s">
        <v>24</v>
      </c>
      <c r="H581">
        <v>62</v>
      </c>
      <c r="I581" t="str">
        <f>IF(TBL[[#This Row],[Age]]&gt;=60, "Old", IF(TBL[[#This Row],[Age]]&gt;=30, "Adult", "Young"))</f>
        <v>Old</v>
      </c>
      <c r="J581" s="1">
        <v>38977</v>
      </c>
      <c r="K581">
        <f t="shared" si="9"/>
        <v>2006</v>
      </c>
      <c r="L581">
        <f>MONTH(TBL[[#This Row],[Hire Date]])</f>
        <v>9</v>
      </c>
      <c r="M581" s="7">
        <v>64669</v>
      </c>
      <c r="N581" s="8">
        <v>0</v>
      </c>
      <c r="O581" t="s">
        <v>33</v>
      </c>
      <c r="P581" t="s">
        <v>80</v>
      </c>
      <c r="Q581" s="1" t="s">
        <v>21</v>
      </c>
    </row>
    <row r="582" spans="1:17" x14ac:dyDescent="0.35">
      <c r="A582" t="s">
        <v>1325</v>
      </c>
      <c r="B582" t="s">
        <v>1326</v>
      </c>
      <c r="C582" t="s">
        <v>64</v>
      </c>
      <c r="D582" t="s">
        <v>43</v>
      </c>
      <c r="E582" t="s">
        <v>16</v>
      </c>
      <c r="F582" t="s">
        <v>28</v>
      </c>
      <c r="G582" t="s">
        <v>51</v>
      </c>
      <c r="H582">
        <v>61</v>
      </c>
      <c r="I582" t="str">
        <f>IF(TBL[[#This Row],[Age]]&gt;=60, "Old", IF(TBL[[#This Row],[Age]]&gt;=30, "Adult", "Young"))</f>
        <v>Old</v>
      </c>
      <c r="J582" s="1">
        <v>39568</v>
      </c>
      <c r="K582">
        <f t="shared" si="9"/>
        <v>2008</v>
      </c>
      <c r="L582">
        <f>MONTH(TBL[[#This Row],[Hire Date]])</f>
        <v>4</v>
      </c>
      <c r="M582" s="7">
        <v>69352</v>
      </c>
      <c r="N582" s="8">
        <v>0</v>
      </c>
      <c r="O582" t="s">
        <v>52</v>
      </c>
      <c r="P582" t="s">
        <v>66</v>
      </c>
      <c r="Q582" s="1" t="s">
        <v>21</v>
      </c>
    </row>
    <row r="583" spans="1:17" x14ac:dyDescent="0.35">
      <c r="A583" t="s">
        <v>268</v>
      </c>
      <c r="B583" t="s">
        <v>1327</v>
      </c>
      <c r="C583" t="s">
        <v>64</v>
      </c>
      <c r="D583" t="s">
        <v>43</v>
      </c>
      <c r="E583" t="s">
        <v>16</v>
      </c>
      <c r="F583" t="s">
        <v>28</v>
      </c>
      <c r="G583" t="s">
        <v>24</v>
      </c>
      <c r="H583">
        <v>65</v>
      </c>
      <c r="I583" t="str">
        <f>IF(TBL[[#This Row],[Age]]&gt;=60, "Old", IF(TBL[[#This Row],[Age]]&gt;=30, "Adult", "Young"))</f>
        <v>Old</v>
      </c>
      <c r="J583" s="1">
        <v>37181</v>
      </c>
      <c r="K583">
        <f t="shared" si="9"/>
        <v>2001</v>
      </c>
      <c r="L583">
        <f>MONTH(TBL[[#This Row],[Hire Date]])</f>
        <v>10</v>
      </c>
      <c r="M583" s="7">
        <v>74631</v>
      </c>
      <c r="N583" s="8">
        <v>0</v>
      </c>
      <c r="O583" t="s">
        <v>33</v>
      </c>
      <c r="P583" t="s">
        <v>80</v>
      </c>
      <c r="Q583" s="1" t="s">
        <v>21</v>
      </c>
    </row>
    <row r="584" spans="1:17" x14ac:dyDescent="0.35">
      <c r="A584" t="s">
        <v>1328</v>
      </c>
      <c r="B584" t="s">
        <v>133</v>
      </c>
      <c r="C584" t="s">
        <v>30</v>
      </c>
      <c r="D584" t="s">
        <v>31</v>
      </c>
      <c r="E584" t="s">
        <v>44</v>
      </c>
      <c r="F584" t="s">
        <v>28</v>
      </c>
      <c r="G584" t="s">
        <v>51</v>
      </c>
      <c r="H584">
        <v>54</v>
      </c>
      <c r="I584" t="str">
        <f>IF(TBL[[#This Row],[Age]]&gt;=60, "Old", IF(TBL[[#This Row],[Age]]&gt;=30, "Adult", "Young"))</f>
        <v>Adult</v>
      </c>
      <c r="J584" s="1">
        <v>41028</v>
      </c>
      <c r="K584">
        <f t="shared" si="9"/>
        <v>2012</v>
      </c>
      <c r="L584">
        <f>MONTH(TBL[[#This Row],[Hire Date]])</f>
        <v>4</v>
      </c>
      <c r="M584" s="7">
        <v>96441</v>
      </c>
      <c r="N584" s="8">
        <v>0</v>
      </c>
      <c r="O584" t="s">
        <v>52</v>
      </c>
      <c r="P584" t="s">
        <v>53</v>
      </c>
      <c r="Q584" s="1" t="s">
        <v>21</v>
      </c>
    </row>
    <row r="585" spans="1:17" x14ac:dyDescent="0.35">
      <c r="A585" t="s">
        <v>1329</v>
      </c>
      <c r="B585" t="s">
        <v>1330</v>
      </c>
      <c r="C585" t="s">
        <v>97</v>
      </c>
      <c r="D585" t="s">
        <v>31</v>
      </c>
      <c r="E585" t="s">
        <v>44</v>
      </c>
      <c r="F585" t="s">
        <v>28</v>
      </c>
      <c r="G585" t="s">
        <v>24</v>
      </c>
      <c r="H585">
        <v>46</v>
      </c>
      <c r="I585" t="str">
        <f>IF(TBL[[#This Row],[Age]]&gt;=60, "Old", IF(TBL[[#This Row],[Age]]&gt;=30, "Adult", "Young"))</f>
        <v>Adult</v>
      </c>
      <c r="J585" s="1">
        <v>40836</v>
      </c>
      <c r="K585">
        <f t="shared" si="9"/>
        <v>2011</v>
      </c>
      <c r="L585">
        <f>MONTH(TBL[[#This Row],[Hire Date]])</f>
        <v>10</v>
      </c>
      <c r="M585" s="7">
        <v>114250</v>
      </c>
      <c r="N585" s="8">
        <v>0.14000000000000001</v>
      </c>
      <c r="O585" t="s">
        <v>33</v>
      </c>
      <c r="P585" t="s">
        <v>34</v>
      </c>
      <c r="Q585" s="1" t="s">
        <v>21</v>
      </c>
    </row>
    <row r="586" spans="1:17" x14ac:dyDescent="0.35">
      <c r="A586" t="s">
        <v>1331</v>
      </c>
      <c r="B586" t="s">
        <v>1332</v>
      </c>
      <c r="C586" t="s">
        <v>56</v>
      </c>
      <c r="D586" t="s">
        <v>27</v>
      </c>
      <c r="E586" t="s">
        <v>32</v>
      </c>
      <c r="F586" t="s">
        <v>28</v>
      </c>
      <c r="G586" t="s">
        <v>51</v>
      </c>
      <c r="H586">
        <v>36</v>
      </c>
      <c r="I586" t="str">
        <f>IF(TBL[[#This Row],[Age]]&gt;=60, "Old", IF(TBL[[#This Row],[Age]]&gt;=30, "Adult", "Young"))</f>
        <v>Adult</v>
      </c>
      <c r="J586" s="1">
        <v>44192</v>
      </c>
      <c r="K586">
        <f t="shared" si="9"/>
        <v>2020</v>
      </c>
      <c r="L586">
        <f>MONTH(TBL[[#This Row],[Hire Date]])</f>
        <v>12</v>
      </c>
      <c r="M586" s="7">
        <v>70165</v>
      </c>
      <c r="N586" s="8">
        <v>7.0000000000000007E-2</v>
      </c>
      <c r="O586" t="s">
        <v>52</v>
      </c>
      <c r="P586" t="s">
        <v>81</v>
      </c>
      <c r="Q586" s="1" t="s">
        <v>21</v>
      </c>
    </row>
    <row r="587" spans="1:17" x14ac:dyDescent="0.35">
      <c r="A587" t="s">
        <v>1333</v>
      </c>
      <c r="B587" t="s">
        <v>1334</v>
      </c>
      <c r="C587" t="s">
        <v>62</v>
      </c>
      <c r="D587" t="s">
        <v>27</v>
      </c>
      <c r="E587" t="s">
        <v>32</v>
      </c>
      <c r="F587" t="s">
        <v>28</v>
      </c>
      <c r="G587" t="s">
        <v>24</v>
      </c>
      <c r="H587">
        <v>60</v>
      </c>
      <c r="I587" t="str">
        <f>IF(TBL[[#This Row],[Age]]&gt;=60, "Old", IF(TBL[[#This Row],[Age]]&gt;=30, "Adult", "Young"))</f>
        <v>Old</v>
      </c>
      <c r="J587" s="1">
        <v>36554</v>
      </c>
      <c r="K587">
        <f t="shared" si="9"/>
        <v>2000</v>
      </c>
      <c r="L587">
        <f>MONTH(TBL[[#This Row],[Hire Date]])</f>
        <v>1</v>
      </c>
      <c r="M587" s="7">
        <v>109059</v>
      </c>
      <c r="N587" s="8">
        <v>7.0000000000000007E-2</v>
      </c>
      <c r="O587" t="s">
        <v>33</v>
      </c>
      <c r="P587" t="s">
        <v>34</v>
      </c>
      <c r="Q587" s="1" t="s">
        <v>21</v>
      </c>
    </row>
    <row r="588" spans="1:17" x14ac:dyDescent="0.35">
      <c r="A588" t="s">
        <v>353</v>
      </c>
      <c r="B588" t="s">
        <v>1335</v>
      </c>
      <c r="C588" t="s">
        <v>69</v>
      </c>
      <c r="D588" t="s">
        <v>31</v>
      </c>
      <c r="E588" t="s">
        <v>16</v>
      </c>
      <c r="F588" t="s">
        <v>17</v>
      </c>
      <c r="G588" t="s">
        <v>24</v>
      </c>
      <c r="H588">
        <v>30</v>
      </c>
      <c r="I588" t="str">
        <f>IF(TBL[[#This Row],[Age]]&gt;=60, "Old", IF(TBL[[#This Row],[Age]]&gt;=30, "Adult", "Young"))</f>
        <v>Adult</v>
      </c>
      <c r="J588" s="1">
        <v>42322</v>
      </c>
      <c r="K588">
        <f t="shared" si="9"/>
        <v>2015</v>
      </c>
      <c r="L588">
        <f>MONTH(TBL[[#This Row],[Hire Date]])</f>
        <v>11</v>
      </c>
      <c r="M588" s="7">
        <v>77442</v>
      </c>
      <c r="N588" s="8">
        <v>0</v>
      </c>
      <c r="O588" t="s">
        <v>19</v>
      </c>
      <c r="P588" t="s">
        <v>29</v>
      </c>
      <c r="Q588" s="1" t="s">
        <v>21</v>
      </c>
    </row>
    <row r="589" spans="1:17" x14ac:dyDescent="0.35">
      <c r="A589" t="s">
        <v>1336</v>
      </c>
      <c r="B589" t="s">
        <v>1337</v>
      </c>
      <c r="C589" t="s">
        <v>64</v>
      </c>
      <c r="D589" t="s">
        <v>50</v>
      </c>
      <c r="E589" t="s">
        <v>32</v>
      </c>
      <c r="F589" t="s">
        <v>17</v>
      </c>
      <c r="G589" t="s">
        <v>51</v>
      </c>
      <c r="H589">
        <v>34</v>
      </c>
      <c r="I589" t="str">
        <f>IF(TBL[[#This Row],[Age]]&gt;=60, "Old", IF(TBL[[#This Row],[Age]]&gt;=30, "Adult", "Young"))</f>
        <v>Adult</v>
      </c>
      <c r="J589" s="1">
        <v>41066</v>
      </c>
      <c r="K589">
        <f t="shared" si="9"/>
        <v>2012</v>
      </c>
      <c r="L589">
        <f>MONTH(TBL[[#This Row],[Hire Date]])</f>
        <v>6</v>
      </c>
      <c r="M589" s="7">
        <v>72126</v>
      </c>
      <c r="N589" s="8">
        <v>0</v>
      </c>
      <c r="O589" t="s">
        <v>52</v>
      </c>
      <c r="P589" t="s">
        <v>81</v>
      </c>
      <c r="Q589" s="1" t="s">
        <v>21</v>
      </c>
    </row>
    <row r="590" spans="1:17" x14ac:dyDescent="0.35">
      <c r="A590" t="s">
        <v>1338</v>
      </c>
      <c r="B590" t="s">
        <v>1339</v>
      </c>
      <c r="C590" t="s">
        <v>82</v>
      </c>
      <c r="D590" t="s">
        <v>27</v>
      </c>
      <c r="E590" t="s">
        <v>36</v>
      </c>
      <c r="F590" t="s">
        <v>28</v>
      </c>
      <c r="G590" t="s">
        <v>18</v>
      </c>
      <c r="H590">
        <v>55</v>
      </c>
      <c r="I590" t="str">
        <f>IF(TBL[[#This Row],[Age]]&gt;=60, "Old", IF(TBL[[#This Row],[Age]]&gt;=30, "Adult", "Young"))</f>
        <v>Adult</v>
      </c>
      <c r="J590" s="1">
        <v>41565</v>
      </c>
      <c r="K590">
        <f t="shared" si="9"/>
        <v>2013</v>
      </c>
      <c r="L590">
        <f>MONTH(TBL[[#This Row],[Hire Date]])</f>
        <v>10</v>
      </c>
      <c r="M590" s="7">
        <v>70334</v>
      </c>
      <c r="N590" s="8">
        <v>0</v>
      </c>
      <c r="O590" t="s">
        <v>19</v>
      </c>
      <c r="P590" t="s">
        <v>45</v>
      </c>
      <c r="Q590" s="1" t="s">
        <v>21</v>
      </c>
    </row>
    <row r="591" spans="1:17" x14ac:dyDescent="0.35">
      <c r="A591" t="s">
        <v>1340</v>
      </c>
      <c r="B591" t="s">
        <v>1341</v>
      </c>
      <c r="C591" t="s">
        <v>30</v>
      </c>
      <c r="D591" t="s">
        <v>31</v>
      </c>
      <c r="E591" t="s">
        <v>16</v>
      </c>
      <c r="F591" t="s">
        <v>28</v>
      </c>
      <c r="G591" t="s">
        <v>24</v>
      </c>
      <c r="H591">
        <v>59</v>
      </c>
      <c r="I591" t="str">
        <f>IF(TBL[[#This Row],[Age]]&gt;=60, "Old", IF(TBL[[#This Row],[Age]]&gt;=30, "Adult", "Young"))</f>
        <v>Adult</v>
      </c>
      <c r="J591" s="1">
        <v>40170</v>
      </c>
      <c r="K591">
        <f t="shared" si="9"/>
        <v>2009</v>
      </c>
      <c r="L591">
        <f>MONTH(TBL[[#This Row],[Hire Date]])</f>
        <v>12</v>
      </c>
      <c r="M591" s="7">
        <v>78006</v>
      </c>
      <c r="N591" s="8">
        <v>0</v>
      </c>
      <c r="O591" t="s">
        <v>19</v>
      </c>
      <c r="P591" t="s">
        <v>45</v>
      </c>
      <c r="Q591" s="1" t="s">
        <v>21</v>
      </c>
    </row>
    <row r="592" spans="1:17" x14ac:dyDescent="0.35">
      <c r="A592" t="s">
        <v>1342</v>
      </c>
      <c r="B592" t="s">
        <v>1343</v>
      </c>
      <c r="C592" t="s">
        <v>40</v>
      </c>
      <c r="D592" t="s">
        <v>27</v>
      </c>
      <c r="E592" t="s">
        <v>36</v>
      </c>
      <c r="F592" t="s">
        <v>17</v>
      </c>
      <c r="G592" t="s">
        <v>51</v>
      </c>
      <c r="H592">
        <v>28</v>
      </c>
      <c r="I592" t="str">
        <f>IF(TBL[[#This Row],[Age]]&gt;=60, "Old", IF(TBL[[#This Row],[Age]]&gt;=30, "Adult", "Young"))</f>
        <v>Young</v>
      </c>
      <c r="J592" s="1">
        <v>44221</v>
      </c>
      <c r="K592">
        <f t="shared" si="9"/>
        <v>2021</v>
      </c>
      <c r="L592">
        <f>MONTH(TBL[[#This Row],[Hire Date]])</f>
        <v>1</v>
      </c>
      <c r="M592" s="7">
        <v>160385</v>
      </c>
      <c r="N592" s="8">
        <v>0.23</v>
      </c>
      <c r="O592" t="s">
        <v>19</v>
      </c>
      <c r="P592" t="s">
        <v>45</v>
      </c>
      <c r="Q592" s="1">
        <v>44334</v>
      </c>
    </row>
    <row r="593" spans="1:17" x14ac:dyDescent="0.35">
      <c r="A593" t="s">
        <v>1344</v>
      </c>
      <c r="B593" t="s">
        <v>1345</v>
      </c>
      <c r="C593" t="s">
        <v>14</v>
      </c>
      <c r="D593" t="s">
        <v>15</v>
      </c>
      <c r="E593" t="s">
        <v>32</v>
      </c>
      <c r="F593" t="s">
        <v>17</v>
      </c>
      <c r="G593" t="s">
        <v>18</v>
      </c>
      <c r="H593">
        <v>36</v>
      </c>
      <c r="I593" t="str">
        <f>IF(TBL[[#This Row],[Age]]&gt;=60, "Old", IF(TBL[[#This Row],[Age]]&gt;=30, "Adult", "Young"))</f>
        <v>Adult</v>
      </c>
      <c r="J593" s="1">
        <v>41650</v>
      </c>
      <c r="K593">
        <f t="shared" si="9"/>
        <v>2014</v>
      </c>
      <c r="L593">
        <f>MONTH(TBL[[#This Row],[Hire Date]])</f>
        <v>1</v>
      </c>
      <c r="M593" s="7">
        <v>202323</v>
      </c>
      <c r="N593" s="8">
        <v>0.39</v>
      </c>
      <c r="O593" t="s">
        <v>19</v>
      </c>
      <c r="P593" t="s">
        <v>20</v>
      </c>
      <c r="Q593" s="1" t="s">
        <v>21</v>
      </c>
    </row>
    <row r="594" spans="1:17" x14ac:dyDescent="0.35">
      <c r="A594" t="s">
        <v>1346</v>
      </c>
      <c r="B594" t="s">
        <v>1347</v>
      </c>
      <c r="C594" t="s">
        <v>61</v>
      </c>
      <c r="D594" t="s">
        <v>23</v>
      </c>
      <c r="E594" t="s">
        <v>32</v>
      </c>
      <c r="F594" t="s">
        <v>17</v>
      </c>
      <c r="G594" t="s">
        <v>51</v>
      </c>
      <c r="H594">
        <v>29</v>
      </c>
      <c r="I594" t="str">
        <f>IF(TBL[[#This Row],[Age]]&gt;=60, "Old", IF(TBL[[#This Row],[Age]]&gt;=30, "Adult", "Young"))</f>
        <v>Young</v>
      </c>
      <c r="J594" s="1">
        <v>44025</v>
      </c>
      <c r="K594">
        <f t="shared" si="9"/>
        <v>2020</v>
      </c>
      <c r="L594">
        <f>MONTH(TBL[[#This Row],[Hire Date]])</f>
        <v>7</v>
      </c>
      <c r="M594" s="7">
        <v>141555</v>
      </c>
      <c r="N594" s="8">
        <v>0.11</v>
      </c>
      <c r="O594" t="s">
        <v>52</v>
      </c>
      <c r="P594" t="s">
        <v>81</v>
      </c>
      <c r="Q594" s="1" t="s">
        <v>21</v>
      </c>
    </row>
    <row r="595" spans="1:17" x14ac:dyDescent="0.35">
      <c r="A595" t="s">
        <v>1348</v>
      </c>
      <c r="B595" t="s">
        <v>1349</v>
      </c>
      <c r="C595" t="s">
        <v>40</v>
      </c>
      <c r="D595" t="s">
        <v>15</v>
      </c>
      <c r="E595" t="s">
        <v>44</v>
      </c>
      <c r="F595" t="s">
        <v>17</v>
      </c>
      <c r="G595" t="s">
        <v>24</v>
      </c>
      <c r="H595">
        <v>34</v>
      </c>
      <c r="I595" t="str">
        <f>IF(TBL[[#This Row],[Age]]&gt;=60, "Old", IF(TBL[[#This Row],[Age]]&gt;=30, "Adult", "Young"))</f>
        <v>Adult</v>
      </c>
      <c r="J595" s="1">
        <v>44032</v>
      </c>
      <c r="K595">
        <f t="shared" si="9"/>
        <v>2020</v>
      </c>
      <c r="L595">
        <f>MONTH(TBL[[#This Row],[Hire Date]])</f>
        <v>7</v>
      </c>
      <c r="M595" s="7">
        <v>184960</v>
      </c>
      <c r="N595" s="8">
        <v>0.18</v>
      </c>
      <c r="O595" t="s">
        <v>19</v>
      </c>
      <c r="P595" t="s">
        <v>63</v>
      </c>
      <c r="Q595" s="1" t="s">
        <v>21</v>
      </c>
    </row>
    <row r="596" spans="1:17" x14ac:dyDescent="0.35">
      <c r="A596" t="s">
        <v>1350</v>
      </c>
      <c r="B596" t="s">
        <v>1351</v>
      </c>
      <c r="C596" t="s">
        <v>14</v>
      </c>
      <c r="D596" t="s">
        <v>27</v>
      </c>
      <c r="E596" t="s">
        <v>36</v>
      </c>
      <c r="F596" t="s">
        <v>28</v>
      </c>
      <c r="G596" t="s">
        <v>24</v>
      </c>
      <c r="H596">
        <v>37</v>
      </c>
      <c r="I596" t="str">
        <f>IF(TBL[[#This Row],[Age]]&gt;=60, "Old", IF(TBL[[#This Row],[Age]]&gt;=30, "Adult", "Young"))</f>
        <v>Adult</v>
      </c>
      <c r="J596" s="1">
        <v>40719</v>
      </c>
      <c r="K596">
        <f t="shared" si="9"/>
        <v>2011</v>
      </c>
      <c r="L596">
        <f>MONTH(TBL[[#This Row],[Hire Date]])</f>
        <v>6</v>
      </c>
      <c r="M596" s="7">
        <v>221592</v>
      </c>
      <c r="N596" s="8">
        <v>0.31</v>
      </c>
      <c r="O596" t="s">
        <v>19</v>
      </c>
      <c r="P596" t="s">
        <v>29</v>
      </c>
      <c r="Q596" s="1" t="s">
        <v>21</v>
      </c>
    </row>
    <row r="597" spans="1:17" x14ac:dyDescent="0.35">
      <c r="A597" t="s">
        <v>1352</v>
      </c>
      <c r="B597" t="s">
        <v>1353</v>
      </c>
      <c r="C597" t="s">
        <v>22</v>
      </c>
      <c r="D597" t="s">
        <v>23</v>
      </c>
      <c r="E597" t="s">
        <v>36</v>
      </c>
      <c r="F597" t="s">
        <v>17</v>
      </c>
      <c r="G597" t="s">
        <v>24</v>
      </c>
      <c r="H597">
        <v>44</v>
      </c>
      <c r="I597" t="str">
        <f>IF(TBL[[#This Row],[Age]]&gt;=60, "Old", IF(TBL[[#This Row],[Age]]&gt;=30, "Adult", "Young"))</f>
        <v>Adult</v>
      </c>
      <c r="J597" s="1">
        <v>39841</v>
      </c>
      <c r="K597">
        <f t="shared" si="9"/>
        <v>2009</v>
      </c>
      <c r="L597">
        <f>MONTH(TBL[[#This Row],[Hire Date]])</f>
        <v>1</v>
      </c>
      <c r="M597" s="7">
        <v>53301</v>
      </c>
      <c r="N597" s="8">
        <v>0</v>
      </c>
      <c r="O597" t="s">
        <v>19</v>
      </c>
      <c r="P597" t="s">
        <v>63</v>
      </c>
      <c r="Q597" s="1" t="s">
        <v>21</v>
      </c>
    </row>
    <row r="598" spans="1:17" x14ac:dyDescent="0.35">
      <c r="A598" t="s">
        <v>1354</v>
      </c>
      <c r="B598" t="s">
        <v>1355</v>
      </c>
      <c r="C598" t="s">
        <v>38</v>
      </c>
      <c r="D598" t="s">
        <v>27</v>
      </c>
      <c r="E598" t="s">
        <v>32</v>
      </c>
      <c r="F598" t="s">
        <v>28</v>
      </c>
      <c r="G598" t="s">
        <v>24</v>
      </c>
      <c r="H598">
        <v>45</v>
      </c>
      <c r="I598" t="str">
        <f>IF(TBL[[#This Row],[Age]]&gt;=60, "Old", IF(TBL[[#This Row],[Age]]&gt;=30, "Adult", "Young"))</f>
        <v>Adult</v>
      </c>
      <c r="J598" s="1">
        <v>36587</v>
      </c>
      <c r="K598">
        <f t="shared" si="9"/>
        <v>2000</v>
      </c>
      <c r="L598">
        <f>MONTH(TBL[[#This Row],[Hire Date]])</f>
        <v>3</v>
      </c>
      <c r="M598" s="7">
        <v>91276</v>
      </c>
      <c r="N598" s="8">
        <v>0</v>
      </c>
      <c r="O598" t="s">
        <v>19</v>
      </c>
      <c r="P598" t="s">
        <v>63</v>
      </c>
      <c r="Q598" s="1" t="s">
        <v>21</v>
      </c>
    </row>
    <row r="599" spans="1:17" x14ac:dyDescent="0.35">
      <c r="A599" t="s">
        <v>1356</v>
      </c>
      <c r="B599" t="s">
        <v>1357</v>
      </c>
      <c r="C599" t="s">
        <v>61</v>
      </c>
      <c r="D599" t="s">
        <v>23</v>
      </c>
      <c r="E599" t="s">
        <v>16</v>
      </c>
      <c r="F599" t="s">
        <v>17</v>
      </c>
      <c r="G599" t="s">
        <v>24</v>
      </c>
      <c r="H599">
        <v>52</v>
      </c>
      <c r="I599" t="str">
        <f>IF(TBL[[#This Row],[Age]]&gt;=60, "Old", IF(TBL[[#This Row],[Age]]&gt;=30, "Adult", "Young"))</f>
        <v>Adult</v>
      </c>
      <c r="J599" s="1">
        <v>42983</v>
      </c>
      <c r="K599">
        <f t="shared" si="9"/>
        <v>2017</v>
      </c>
      <c r="L599">
        <f>MONTH(TBL[[#This Row],[Hire Date]])</f>
        <v>9</v>
      </c>
      <c r="M599" s="7">
        <v>140042</v>
      </c>
      <c r="N599" s="8">
        <v>0.13</v>
      </c>
      <c r="O599" t="s">
        <v>19</v>
      </c>
      <c r="P599" t="s">
        <v>25</v>
      </c>
      <c r="Q599" s="1" t="s">
        <v>21</v>
      </c>
    </row>
    <row r="600" spans="1:17" x14ac:dyDescent="0.35">
      <c r="A600" t="s">
        <v>186</v>
      </c>
      <c r="B600" t="s">
        <v>1358</v>
      </c>
      <c r="C600" t="s">
        <v>68</v>
      </c>
      <c r="D600" t="s">
        <v>65</v>
      </c>
      <c r="E600" t="s">
        <v>36</v>
      </c>
      <c r="F600" t="s">
        <v>17</v>
      </c>
      <c r="G600" t="s">
        <v>24</v>
      </c>
      <c r="H600">
        <v>40</v>
      </c>
      <c r="I600" t="str">
        <f>IF(TBL[[#This Row],[Age]]&gt;=60, "Old", IF(TBL[[#This Row],[Age]]&gt;=30, "Adult", "Young"))</f>
        <v>Adult</v>
      </c>
      <c r="J600" s="1">
        <v>43440</v>
      </c>
      <c r="K600">
        <f t="shared" si="9"/>
        <v>2018</v>
      </c>
      <c r="L600">
        <f>MONTH(TBL[[#This Row],[Hire Date]])</f>
        <v>12</v>
      </c>
      <c r="M600" s="7">
        <v>57225</v>
      </c>
      <c r="N600" s="8">
        <v>0</v>
      </c>
      <c r="O600" t="s">
        <v>19</v>
      </c>
      <c r="P600" t="s">
        <v>29</v>
      </c>
      <c r="Q600" s="1" t="s">
        <v>21</v>
      </c>
    </row>
    <row r="601" spans="1:17" x14ac:dyDescent="0.35">
      <c r="A601" t="s">
        <v>1359</v>
      </c>
      <c r="B601" t="s">
        <v>1360</v>
      </c>
      <c r="C601" t="s">
        <v>62</v>
      </c>
      <c r="D601" t="s">
        <v>23</v>
      </c>
      <c r="E601" t="s">
        <v>44</v>
      </c>
      <c r="F601" t="s">
        <v>17</v>
      </c>
      <c r="G601" t="s">
        <v>51</v>
      </c>
      <c r="H601">
        <v>55</v>
      </c>
      <c r="I601" t="str">
        <f>IF(TBL[[#This Row],[Age]]&gt;=60, "Old", IF(TBL[[#This Row],[Age]]&gt;=30, "Adult", "Young"))</f>
        <v>Adult</v>
      </c>
      <c r="J601" s="1">
        <v>40233</v>
      </c>
      <c r="K601">
        <f t="shared" si="9"/>
        <v>2010</v>
      </c>
      <c r="L601">
        <f>MONTH(TBL[[#This Row],[Hire Date]])</f>
        <v>2</v>
      </c>
      <c r="M601" s="7">
        <v>102839</v>
      </c>
      <c r="N601" s="8">
        <v>0.05</v>
      </c>
      <c r="O601" t="s">
        <v>19</v>
      </c>
      <c r="P601" t="s">
        <v>45</v>
      </c>
      <c r="Q601" s="1" t="s">
        <v>21</v>
      </c>
    </row>
    <row r="602" spans="1:17" x14ac:dyDescent="0.35">
      <c r="A602" t="s">
        <v>1361</v>
      </c>
      <c r="B602" t="s">
        <v>1362</v>
      </c>
      <c r="C602" t="s">
        <v>40</v>
      </c>
      <c r="D602" t="s">
        <v>43</v>
      </c>
      <c r="E602" t="s">
        <v>16</v>
      </c>
      <c r="F602" t="s">
        <v>28</v>
      </c>
      <c r="G602" t="s">
        <v>24</v>
      </c>
      <c r="H602">
        <v>29</v>
      </c>
      <c r="I602" t="str">
        <f>IF(TBL[[#This Row],[Age]]&gt;=60, "Old", IF(TBL[[#This Row],[Age]]&gt;=30, "Adult", "Young"))</f>
        <v>Young</v>
      </c>
      <c r="J602" s="1">
        <v>44454</v>
      </c>
      <c r="K602">
        <f t="shared" si="9"/>
        <v>2021</v>
      </c>
      <c r="L602">
        <f>MONTH(TBL[[#This Row],[Hire Date]])</f>
        <v>9</v>
      </c>
      <c r="M602" s="7">
        <v>199783</v>
      </c>
      <c r="N602" s="8">
        <v>0.21</v>
      </c>
      <c r="O602" t="s">
        <v>19</v>
      </c>
      <c r="P602" t="s">
        <v>20</v>
      </c>
      <c r="Q602" s="1">
        <v>44661</v>
      </c>
    </row>
    <row r="603" spans="1:17" x14ac:dyDescent="0.35">
      <c r="A603" t="s">
        <v>1363</v>
      </c>
      <c r="B603" t="s">
        <v>1364</v>
      </c>
      <c r="C603" t="s">
        <v>77</v>
      </c>
      <c r="D603" t="s">
        <v>23</v>
      </c>
      <c r="E603" t="s">
        <v>16</v>
      </c>
      <c r="F603" t="s">
        <v>28</v>
      </c>
      <c r="G603" t="s">
        <v>51</v>
      </c>
      <c r="H603">
        <v>32</v>
      </c>
      <c r="I603" t="str">
        <f>IF(TBL[[#This Row],[Age]]&gt;=60, "Old", IF(TBL[[#This Row],[Age]]&gt;=30, "Adult", "Young"))</f>
        <v>Adult</v>
      </c>
      <c r="J603" s="1">
        <v>44295</v>
      </c>
      <c r="K603">
        <f t="shared" si="9"/>
        <v>2021</v>
      </c>
      <c r="L603">
        <f>MONTH(TBL[[#This Row],[Hire Date]])</f>
        <v>4</v>
      </c>
      <c r="M603" s="7">
        <v>70980</v>
      </c>
      <c r="N603" s="8">
        <v>0</v>
      </c>
      <c r="O603" t="s">
        <v>52</v>
      </c>
      <c r="P603" t="s">
        <v>66</v>
      </c>
      <c r="Q603" s="1" t="s">
        <v>21</v>
      </c>
    </row>
    <row r="604" spans="1:17" x14ac:dyDescent="0.35">
      <c r="A604" t="s">
        <v>1365</v>
      </c>
      <c r="B604" t="s">
        <v>1366</v>
      </c>
      <c r="C604" t="s">
        <v>62</v>
      </c>
      <c r="D604" t="s">
        <v>43</v>
      </c>
      <c r="E604" t="s">
        <v>32</v>
      </c>
      <c r="F604" t="s">
        <v>28</v>
      </c>
      <c r="G604" t="s">
        <v>18</v>
      </c>
      <c r="H604">
        <v>51</v>
      </c>
      <c r="I604" t="str">
        <f>IF(TBL[[#This Row],[Age]]&gt;=60, "Old", IF(TBL[[#This Row],[Age]]&gt;=30, "Adult", "Young"))</f>
        <v>Adult</v>
      </c>
      <c r="J604" s="1">
        <v>35456</v>
      </c>
      <c r="K604">
        <f t="shared" si="9"/>
        <v>1997</v>
      </c>
      <c r="L604">
        <f>MONTH(TBL[[#This Row],[Hire Date]])</f>
        <v>1</v>
      </c>
      <c r="M604" s="7">
        <v>104431</v>
      </c>
      <c r="N604" s="8">
        <v>7.0000000000000007E-2</v>
      </c>
      <c r="O604" t="s">
        <v>19</v>
      </c>
      <c r="P604" t="s">
        <v>39</v>
      </c>
      <c r="Q604" s="1" t="s">
        <v>21</v>
      </c>
    </row>
    <row r="605" spans="1:17" x14ac:dyDescent="0.35">
      <c r="A605" t="s">
        <v>1367</v>
      </c>
      <c r="B605" t="s">
        <v>225</v>
      </c>
      <c r="C605" t="s">
        <v>83</v>
      </c>
      <c r="D605" t="s">
        <v>23</v>
      </c>
      <c r="E605" t="s">
        <v>44</v>
      </c>
      <c r="F605" t="s">
        <v>28</v>
      </c>
      <c r="G605" t="s">
        <v>18</v>
      </c>
      <c r="H605">
        <v>28</v>
      </c>
      <c r="I605" t="str">
        <f>IF(TBL[[#This Row],[Age]]&gt;=60, "Old", IF(TBL[[#This Row],[Age]]&gt;=30, "Adult", "Young"))</f>
        <v>Young</v>
      </c>
      <c r="J605" s="1">
        <v>44374</v>
      </c>
      <c r="K605">
        <f t="shared" si="9"/>
        <v>2021</v>
      </c>
      <c r="L605">
        <f>MONTH(TBL[[#This Row],[Hire Date]])</f>
        <v>6</v>
      </c>
      <c r="M605" s="7">
        <v>48510</v>
      </c>
      <c r="N605" s="8">
        <v>0</v>
      </c>
      <c r="O605" t="s">
        <v>19</v>
      </c>
      <c r="P605" t="s">
        <v>20</v>
      </c>
      <c r="Q605" s="1" t="s">
        <v>21</v>
      </c>
    </row>
    <row r="606" spans="1:17" x14ac:dyDescent="0.35">
      <c r="A606" t="s">
        <v>1368</v>
      </c>
      <c r="B606" t="s">
        <v>1369</v>
      </c>
      <c r="C606" t="s">
        <v>30</v>
      </c>
      <c r="D606" t="s">
        <v>31</v>
      </c>
      <c r="E606" t="s">
        <v>44</v>
      </c>
      <c r="F606" t="s">
        <v>28</v>
      </c>
      <c r="G606" t="s">
        <v>47</v>
      </c>
      <c r="H606">
        <v>27</v>
      </c>
      <c r="I606" t="str">
        <f>IF(TBL[[#This Row],[Age]]&gt;=60, "Old", IF(TBL[[#This Row],[Age]]&gt;=30, "Adult", "Young"))</f>
        <v>Young</v>
      </c>
      <c r="J606" s="1">
        <v>43613</v>
      </c>
      <c r="K606">
        <f t="shared" si="9"/>
        <v>2019</v>
      </c>
      <c r="L606">
        <f>MONTH(TBL[[#This Row],[Hire Date]])</f>
        <v>5</v>
      </c>
      <c r="M606" s="7">
        <v>70110</v>
      </c>
      <c r="N606" s="8">
        <v>0</v>
      </c>
      <c r="O606" t="s">
        <v>19</v>
      </c>
      <c r="P606" t="s">
        <v>45</v>
      </c>
      <c r="Q606" s="1">
        <v>44203</v>
      </c>
    </row>
    <row r="607" spans="1:17" x14ac:dyDescent="0.35">
      <c r="A607" t="s">
        <v>352</v>
      </c>
      <c r="B607" t="s">
        <v>1370</v>
      </c>
      <c r="C607" t="s">
        <v>40</v>
      </c>
      <c r="D607" t="s">
        <v>43</v>
      </c>
      <c r="E607" t="s">
        <v>32</v>
      </c>
      <c r="F607" t="s">
        <v>28</v>
      </c>
      <c r="G607" t="s">
        <v>24</v>
      </c>
      <c r="H607">
        <v>45</v>
      </c>
      <c r="I607" t="str">
        <f>IF(TBL[[#This Row],[Age]]&gt;=60, "Old", IF(TBL[[#This Row],[Age]]&gt;=30, "Adult", "Young"))</f>
        <v>Adult</v>
      </c>
      <c r="J607" s="1">
        <v>39519</v>
      </c>
      <c r="K607">
        <f t="shared" si="9"/>
        <v>2008</v>
      </c>
      <c r="L607">
        <f>MONTH(TBL[[#This Row],[Hire Date]])</f>
        <v>3</v>
      </c>
      <c r="M607" s="7">
        <v>186138</v>
      </c>
      <c r="N607" s="8">
        <v>0.28000000000000003</v>
      </c>
      <c r="O607" t="s">
        <v>33</v>
      </c>
      <c r="P607" t="s">
        <v>80</v>
      </c>
      <c r="Q607" s="1" t="s">
        <v>21</v>
      </c>
    </row>
    <row r="608" spans="1:17" x14ac:dyDescent="0.35">
      <c r="A608" t="s">
        <v>1371</v>
      </c>
      <c r="B608" t="s">
        <v>1372</v>
      </c>
      <c r="C608" t="s">
        <v>68</v>
      </c>
      <c r="D608" t="s">
        <v>65</v>
      </c>
      <c r="E608" t="s">
        <v>36</v>
      </c>
      <c r="F608" t="s">
        <v>28</v>
      </c>
      <c r="G608" t="s">
        <v>51</v>
      </c>
      <c r="H608">
        <v>58</v>
      </c>
      <c r="I608" t="str">
        <f>IF(TBL[[#This Row],[Age]]&gt;=60, "Old", IF(TBL[[#This Row],[Age]]&gt;=30, "Adult", "Young"))</f>
        <v>Adult</v>
      </c>
      <c r="J608" s="1">
        <v>40287</v>
      </c>
      <c r="K608">
        <f t="shared" si="9"/>
        <v>2010</v>
      </c>
      <c r="L608">
        <f>MONTH(TBL[[#This Row],[Hire Date]])</f>
        <v>4</v>
      </c>
      <c r="M608" s="7">
        <v>56350</v>
      </c>
      <c r="N608" s="8">
        <v>0</v>
      </c>
      <c r="O608" t="s">
        <v>52</v>
      </c>
      <c r="P608" t="s">
        <v>66</v>
      </c>
      <c r="Q608" s="1" t="s">
        <v>21</v>
      </c>
    </row>
    <row r="609" spans="1:17" x14ac:dyDescent="0.35">
      <c r="A609" t="s">
        <v>635</v>
      </c>
      <c r="B609" t="s">
        <v>1373</v>
      </c>
      <c r="C609" t="s">
        <v>61</v>
      </c>
      <c r="D609" t="s">
        <v>15</v>
      </c>
      <c r="E609" t="s">
        <v>16</v>
      </c>
      <c r="F609" t="s">
        <v>17</v>
      </c>
      <c r="G609" t="s">
        <v>51</v>
      </c>
      <c r="H609">
        <v>45</v>
      </c>
      <c r="I609" t="str">
        <f>IF(TBL[[#This Row],[Age]]&gt;=60, "Old", IF(TBL[[#This Row],[Age]]&gt;=30, "Adult", "Young"))</f>
        <v>Adult</v>
      </c>
      <c r="J609" s="1">
        <v>42379</v>
      </c>
      <c r="K609">
        <f t="shared" si="9"/>
        <v>2016</v>
      </c>
      <c r="L609">
        <f>MONTH(TBL[[#This Row],[Hire Date]])</f>
        <v>1</v>
      </c>
      <c r="M609" s="7">
        <v>149761</v>
      </c>
      <c r="N609" s="8">
        <v>0.12</v>
      </c>
      <c r="O609" t="s">
        <v>19</v>
      </c>
      <c r="P609" t="s">
        <v>29</v>
      </c>
      <c r="Q609" s="1" t="s">
        <v>21</v>
      </c>
    </row>
    <row r="610" spans="1:17" x14ac:dyDescent="0.35">
      <c r="A610" t="s">
        <v>1374</v>
      </c>
      <c r="B610" t="s">
        <v>1375</v>
      </c>
      <c r="C610" t="s">
        <v>61</v>
      </c>
      <c r="D610" t="s">
        <v>15</v>
      </c>
      <c r="E610" t="s">
        <v>32</v>
      </c>
      <c r="F610" t="s">
        <v>28</v>
      </c>
      <c r="G610" t="s">
        <v>51</v>
      </c>
      <c r="H610">
        <v>44</v>
      </c>
      <c r="I610" t="str">
        <f>IF(TBL[[#This Row],[Age]]&gt;=60, "Old", IF(TBL[[#This Row],[Age]]&gt;=30, "Adult", "Young"))</f>
        <v>Adult</v>
      </c>
      <c r="J610" s="1">
        <v>39305</v>
      </c>
      <c r="K610">
        <f t="shared" si="9"/>
        <v>2007</v>
      </c>
      <c r="L610">
        <f>MONTH(TBL[[#This Row],[Hire Date]])</f>
        <v>8</v>
      </c>
      <c r="M610" s="7">
        <v>126277</v>
      </c>
      <c r="N610" s="8">
        <v>0.13</v>
      </c>
      <c r="O610" t="s">
        <v>52</v>
      </c>
      <c r="P610" t="s">
        <v>81</v>
      </c>
      <c r="Q610" s="1" t="s">
        <v>21</v>
      </c>
    </row>
    <row r="611" spans="1:17" x14ac:dyDescent="0.35">
      <c r="A611" t="s">
        <v>1376</v>
      </c>
      <c r="B611" t="s">
        <v>1377</v>
      </c>
      <c r="C611" t="s">
        <v>62</v>
      </c>
      <c r="D611" t="s">
        <v>50</v>
      </c>
      <c r="E611" t="s">
        <v>44</v>
      </c>
      <c r="F611" t="s">
        <v>28</v>
      </c>
      <c r="G611" t="s">
        <v>18</v>
      </c>
      <c r="H611">
        <v>33</v>
      </c>
      <c r="I611" t="str">
        <f>IF(TBL[[#This Row],[Age]]&gt;=60, "Old", IF(TBL[[#This Row],[Age]]&gt;=30, "Adult", "Young"))</f>
        <v>Adult</v>
      </c>
      <c r="J611" s="1">
        <v>41446</v>
      </c>
      <c r="K611">
        <f t="shared" si="9"/>
        <v>2013</v>
      </c>
      <c r="L611">
        <f>MONTH(TBL[[#This Row],[Hire Date]])</f>
        <v>6</v>
      </c>
      <c r="M611" s="7">
        <v>119631</v>
      </c>
      <c r="N611" s="8">
        <v>0.06</v>
      </c>
      <c r="O611" t="s">
        <v>19</v>
      </c>
      <c r="P611" t="s">
        <v>39</v>
      </c>
      <c r="Q611" s="1" t="s">
        <v>21</v>
      </c>
    </row>
    <row r="612" spans="1:17" x14ac:dyDescent="0.35">
      <c r="A612" t="s">
        <v>1378</v>
      </c>
      <c r="B612" t="s">
        <v>1379</v>
      </c>
      <c r="C612" t="s">
        <v>14</v>
      </c>
      <c r="D612" t="s">
        <v>27</v>
      </c>
      <c r="E612" t="s">
        <v>16</v>
      </c>
      <c r="F612" t="s">
        <v>28</v>
      </c>
      <c r="G612" t="s">
        <v>24</v>
      </c>
      <c r="H612">
        <v>26</v>
      </c>
      <c r="I612" t="str">
        <f>IF(TBL[[#This Row],[Age]]&gt;=60, "Old", IF(TBL[[#This Row],[Age]]&gt;=30, "Adult", "Young"))</f>
        <v>Young</v>
      </c>
      <c r="J612" s="1">
        <v>43960</v>
      </c>
      <c r="K612">
        <f t="shared" si="9"/>
        <v>2020</v>
      </c>
      <c r="L612">
        <f>MONTH(TBL[[#This Row],[Hire Date]])</f>
        <v>5</v>
      </c>
      <c r="M612" s="7">
        <v>256561</v>
      </c>
      <c r="N612" s="8">
        <v>0.39</v>
      </c>
      <c r="O612" t="s">
        <v>19</v>
      </c>
      <c r="P612" t="s">
        <v>25</v>
      </c>
      <c r="Q612" s="1" t="s">
        <v>21</v>
      </c>
    </row>
    <row r="613" spans="1:17" x14ac:dyDescent="0.35">
      <c r="A613" t="s">
        <v>284</v>
      </c>
      <c r="B613" t="s">
        <v>1380</v>
      </c>
      <c r="C613" t="s">
        <v>88</v>
      </c>
      <c r="D613" t="s">
        <v>27</v>
      </c>
      <c r="E613" t="s">
        <v>44</v>
      </c>
      <c r="F613" t="s">
        <v>17</v>
      </c>
      <c r="G613" t="s">
        <v>51</v>
      </c>
      <c r="H613">
        <v>45</v>
      </c>
      <c r="I613" t="str">
        <f>IF(TBL[[#This Row],[Age]]&gt;=60, "Old", IF(TBL[[#This Row],[Age]]&gt;=30, "Adult", "Young"))</f>
        <v>Adult</v>
      </c>
      <c r="J613" s="1">
        <v>43937</v>
      </c>
      <c r="K613">
        <f t="shared" si="9"/>
        <v>2020</v>
      </c>
      <c r="L613">
        <f>MONTH(TBL[[#This Row],[Hire Date]])</f>
        <v>4</v>
      </c>
      <c r="M613" s="7">
        <v>66958</v>
      </c>
      <c r="N613" s="8">
        <v>0</v>
      </c>
      <c r="O613" t="s">
        <v>19</v>
      </c>
      <c r="P613" t="s">
        <v>45</v>
      </c>
      <c r="Q613" s="1" t="s">
        <v>21</v>
      </c>
    </row>
    <row r="614" spans="1:17" x14ac:dyDescent="0.35">
      <c r="A614" t="s">
        <v>46</v>
      </c>
      <c r="B614" t="s">
        <v>1381</v>
      </c>
      <c r="C614" t="s">
        <v>61</v>
      </c>
      <c r="D614" t="s">
        <v>50</v>
      </c>
      <c r="E614" t="s">
        <v>36</v>
      </c>
      <c r="F614" t="s">
        <v>17</v>
      </c>
      <c r="G614" t="s">
        <v>24</v>
      </c>
      <c r="H614">
        <v>46</v>
      </c>
      <c r="I614" t="str">
        <f>IF(TBL[[#This Row],[Age]]&gt;=60, "Old", IF(TBL[[#This Row],[Age]]&gt;=30, "Adult", "Young"))</f>
        <v>Adult</v>
      </c>
      <c r="J614" s="1">
        <v>38046</v>
      </c>
      <c r="K614">
        <f t="shared" si="9"/>
        <v>2004</v>
      </c>
      <c r="L614">
        <f>MONTH(TBL[[#This Row],[Hire Date]])</f>
        <v>2</v>
      </c>
      <c r="M614" s="7">
        <v>158897</v>
      </c>
      <c r="N614" s="8">
        <v>0.1</v>
      </c>
      <c r="O614" t="s">
        <v>33</v>
      </c>
      <c r="P614" t="s">
        <v>80</v>
      </c>
      <c r="Q614" s="1" t="s">
        <v>21</v>
      </c>
    </row>
    <row r="615" spans="1:17" x14ac:dyDescent="0.35">
      <c r="A615" t="s">
        <v>512</v>
      </c>
      <c r="B615" t="s">
        <v>1382</v>
      </c>
      <c r="C615" t="s">
        <v>55</v>
      </c>
      <c r="D615" t="s">
        <v>27</v>
      </c>
      <c r="E615" t="s">
        <v>32</v>
      </c>
      <c r="F615" t="s">
        <v>28</v>
      </c>
      <c r="G615" t="s">
        <v>18</v>
      </c>
      <c r="H615">
        <v>37</v>
      </c>
      <c r="I615" t="str">
        <f>IF(TBL[[#This Row],[Age]]&gt;=60, "Old", IF(TBL[[#This Row],[Age]]&gt;=30, "Adult", "Young"))</f>
        <v>Adult</v>
      </c>
      <c r="J615" s="1">
        <v>39493</v>
      </c>
      <c r="K615">
        <f t="shared" si="9"/>
        <v>2008</v>
      </c>
      <c r="L615">
        <f>MONTH(TBL[[#This Row],[Hire Date]])</f>
        <v>2</v>
      </c>
      <c r="M615" s="7">
        <v>71695</v>
      </c>
      <c r="N615" s="8">
        <v>0</v>
      </c>
      <c r="O615" t="s">
        <v>19</v>
      </c>
      <c r="P615" t="s">
        <v>39</v>
      </c>
      <c r="Q615" s="1" t="s">
        <v>21</v>
      </c>
    </row>
    <row r="616" spans="1:17" x14ac:dyDescent="0.35">
      <c r="A616" t="s">
        <v>1383</v>
      </c>
      <c r="B616" t="s">
        <v>1384</v>
      </c>
      <c r="C616" t="s">
        <v>42</v>
      </c>
      <c r="D616" t="s">
        <v>43</v>
      </c>
      <c r="E616" t="s">
        <v>32</v>
      </c>
      <c r="F616" t="s">
        <v>28</v>
      </c>
      <c r="G616" t="s">
        <v>24</v>
      </c>
      <c r="H616">
        <v>40</v>
      </c>
      <c r="I616" t="str">
        <f>IF(TBL[[#This Row],[Age]]&gt;=60, "Old", IF(TBL[[#This Row],[Age]]&gt;=30, "Adult", "Young"))</f>
        <v>Adult</v>
      </c>
      <c r="J616" s="1">
        <v>41904</v>
      </c>
      <c r="K616">
        <f t="shared" si="9"/>
        <v>2014</v>
      </c>
      <c r="L616">
        <f>MONTH(TBL[[#This Row],[Hire Date]])</f>
        <v>9</v>
      </c>
      <c r="M616" s="7">
        <v>73779</v>
      </c>
      <c r="N616" s="8">
        <v>0</v>
      </c>
      <c r="O616" t="s">
        <v>33</v>
      </c>
      <c r="P616" t="s">
        <v>80</v>
      </c>
      <c r="Q616" s="1">
        <v>43594</v>
      </c>
    </row>
    <row r="617" spans="1:17" x14ac:dyDescent="0.35">
      <c r="A617" t="s">
        <v>1385</v>
      </c>
      <c r="B617" t="s">
        <v>1386</v>
      </c>
      <c r="C617" t="s">
        <v>62</v>
      </c>
      <c r="D617" t="s">
        <v>50</v>
      </c>
      <c r="E617" t="s">
        <v>44</v>
      </c>
      <c r="F617" t="s">
        <v>17</v>
      </c>
      <c r="G617" t="s">
        <v>24</v>
      </c>
      <c r="H617">
        <v>45</v>
      </c>
      <c r="I617" t="str">
        <f>IF(TBL[[#This Row],[Age]]&gt;=60, "Old", IF(TBL[[#This Row],[Age]]&gt;=30, "Adult", "Young"))</f>
        <v>Adult</v>
      </c>
      <c r="J617" s="1">
        <v>40836</v>
      </c>
      <c r="K617">
        <f t="shared" si="9"/>
        <v>2011</v>
      </c>
      <c r="L617">
        <f>MONTH(TBL[[#This Row],[Hire Date]])</f>
        <v>10</v>
      </c>
      <c r="M617" s="7">
        <v>123640</v>
      </c>
      <c r="N617" s="8">
        <v>7.0000000000000007E-2</v>
      </c>
      <c r="O617" t="s">
        <v>33</v>
      </c>
      <c r="P617" t="s">
        <v>74</v>
      </c>
      <c r="Q617" s="1" t="s">
        <v>21</v>
      </c>
    </row>
    <row r="618" spans="1:17" x14ac:dyDescent="0.35">
      <c r="A618" t="s">
        <v>1318</v>
      </c>
      <c r="B618" t="s">
        <v>1387</v>
      </c>
      <c r="C618" t="s">
        <v>68</v>
      </c>
      <c r="D618" t="s">
        <v>50</v>
      </c>
      <c r="E618" t="s">
        <v>44</v>
      </c>
      <c r="F618" t="s">
        <v>17</v>
      </c>
      <c r="G618" t="s">
        <v>18</v>
      </c>
      <c r="H618">
        <v>33</v>
      </c>
      <c r="I618" t="str">
        <f>IF(TBL[[#This Row],[Age]]&gt;=60, "Old", IF(TBL[[#This Row],[Age]]&gt;=30, "Adult", "Young"))</f>
        <v>Adult</v>
      </c>
      <c r="J618" s="1">
        <v>41742</v>
      </c>
      <c r="K618">
        <f t="shared" si="9"/>
        <v>2014</v>
      </c>
      <c r="L618">
        <f>MONTH(TBL[[#This Row],[Hire Date]])</f>
        <v>4</v>
      </c>
      <c r="M618" s="7">
        <v>46878</v>
      </c>
      <c r="N618" s="8">
        <v>0</v>
      </c>
      <c r="O618" t="s">
        <v>19</v>
      </c>
      <c r="P618" t="s">
        <v>45</v>
      </c>
      <c r="Q618" s="1" t="s">
        <v>21</v>
      </c>
    </row>
    <row r="619" spans="1:17" x14ac:dyDescent="0.35">
      <c r="A619" t="s">
        <v>1388</v>
      </c>
      <c r="B619" t="s">
        <v>193</v>
      </c>
      <c r="C619" t="s">
        <v>68</v>
      </c>
      <c r="D619" t="s">
        <v>43</v>
      </c>
      <c r="E619" t="s">
        <v>44</v>
      </c>
      <c r="F619" t="s">
        <v>17</v>
      </c>
      <c r="G619" t="s">
        <v>18</v>
      </c>
      <c r="H619">
        <v>64</v>
      </c>
      <c r="I619" t="str">
        <f>IF(TBL[[#This Row],[Age]]&gt;=60, "Old", IF(TBL[[#This Row],[Age]]&gt;=30, "Adult", "Young"))</f>
        <v>Old</v>
      </c>
      <c r="J619" s="1">
        <v>37662</v>
      </c>
      <c r="K619">
        <f t="shared" si="9"/>
        <v>2003</v>
      </c>
      <c r="L619">
        <f>MONTH(TBL[[#This Row],[Hire Date]])</f>
        <v>2</v>
      </c>
      <c r="M619" s="7">
        <v>57032</v>
      </c>
      <c r="N619" s="8">
        <v>0</v>
      </c>
      <c r="O619" t="s">
        <v>19</v>
      </c>
      <c r="P619" t="s">
        <v>45</v>
      </c>
      <c r="Q619" s="1" t="s">
        <v>21</v>
      </c>
    </row>
    <row r="620" spans="1:17" x14ac:dyDescent="0.35">
      <c r="A620" t="s">
        <v>1389</v>
      </c>
      <c r="B620" t="s">
        <v>1390</v>
      </c>
      <c r="C620" t="s">
        <v>42</v>
      </c>
      <c r="D620" t="s">
        <v>50</v>
      </c>
      <c r="E620" t="s">
        <v>36</v>
      </c>
      <c r="F620" t="s">
        <v>17</v>
      </c>
      <c r="G620" t="s">
        <v>51</v>
      </c>
      <c r="H620">
        <v>57</v>
      </c>
      <c r="I620" t="str">
        <f>IF(TBL[[#This Row],[Age]]&gt;=60, "Old", IF(TBL[[#This Row],[Age]]&gt;=30, "Adult", "Young"))</f>
        <v>Adult</v>
      </c>
      <c r="J620" s="1">
        <v>39357</v>
      </c>
      <c r="K620">
        <f t="shared" si="9"/>
        <v>2007</v>
      </c>
      <c r="L620">
        <f>MONTH(TBL[[#This Row],[Hire Date]])</f>
        <v>10</v>
      </c>
      <c r="M620" s="7">
        <v>98150</v>
      </c>
      <c r="N620" s="8">
        <v>0</v>
      </c>
      <c r="O620" t="s">
        <v>52</v>
      </c>
      <c r="P620" t="s">
        <v>66</v>
      </c>
      <c r="Q620" s="1" t="s">
        <v>21</v>
      </c>
    </row>
    <row r="621" spans="1:17" x14ac:dyDescent="0.35">
      <c r="A621" t="s">
        <v>178</v>
      </c>
      <c r="B621" t="s">
        <v>1391</v>
      </c>
      <c r="C621" t="s">
        <v>40</v>
      </c>
      <c r="D621" t="s">
        <v>43</v>
      </c>
      <c r="E621" t="s">
        <v>36</v>
      </c>
      <c r="F621" t="s">
        <v>17</v>
      </c>
      <c r="G621" t="s">
        <v>24</v>
      </c>
      <c r="H621">
        <v>35</v>
      </c>
      <c r="I621" t="str">
        <f>IF(TBL[[#This Row],[Age]]&gt;=60, "Old", IF(TBL[[#This Row],[Age]]&gt;=30, "Adult", "Young"))</f>
        <v>Adult</v>
      </c>
      <c r="J621" s="1">
        <v>42800</v>
      </c>
      <c r="K621">
        <f t="shared" si="9"/>
        <v>2017</v>
      </c>
      <c r="L621">
        <f>MONTH(TBL[[#This Row],[Hire Date]])</f>
        <v>3</v>
      </c>
      <c r="M621" s="7">
        <v>171426</v>
      </c>
      <c r="N621" s="8">
        <v>0.15</v>
      </c>
      <c r="O621" t="s">
        <v>33</v>
      </c>
      <c r="P621" t="s">
        <v>60</v>
      </c>
      <c r="Q621" s="1">
        <v>43000</v>
      </c>
    </row>
    <row r="622" spans="1:17" x14ac:dyDescent="0.35">
      <c r="A622" t="s">
        <v>362</v>
      </c>
      <c r="B622" t="s">
        <v>1392</v>
      </c>
      <c r="C622" t="s">
        <v>68</v>
      </c>
      <c r="D622" t="s">
        <v>15</v>
      </c>
      <c r="E622" t="s">
        <v>36</v>
      </c>
      <c r="F622" t="s">
        <v>17</v>
      </c>
      <c r="G622" t="s">
        <v>18</v>
      </c>
      <c r="H622">
        <v>55</v>
      </c>
      <c r="I622" t="str">
        <f>IF(TBL[[#This Row],[Age]]&gt;=60, "Old", IF(TBL[[#This Row],[Age]]&gt;=30, "Adult", "Young"))</f>
        <v>Adult</v>
      </c>
      <c r="J622" s="1">
        <v>44302</v>
      </c>
      <c r="K622">
        <f t="shared" si="9"/>
        <v>2021</v>
      </c>
      <c r="L622">
        <f>MONTH(TBL[[#This Row],[Hire Date]])</f>
        <v>4</v>
      </c>
      <c r="M622" s="7">
        <v>48266</v>
      </c>
      <c r="N622" s="8">
        <v>0</v>
      </c>
      <c r="O622" t="s">
        <v>19</v>
      </c>
      <c r="P622" t="s">
        <v>20</v>
      </c>
      <c r="Q622" s="1" t="s">
        <v>21</v>
      </c>
    </row>
    <row r="623" spans="1:17" x14ac:dyDescent="0.35">
      <c r="A623" t="s">
        <v>1393</v>
      </c>
      <c r="B623" t="s">
        <v>1394</v>
      </c>
      <c r="C623" t="s">
        <v>14</v>
      </c>
      <c r="D623" t="s">
        <v>15</v>
      </c>
      <c r="E623" t="s">
        <v>16</v>
      </c>
      <c r="F623" t="s">
        <v>28</v>
      </c>
      <c r="G623" t="s">
        <v>51</v>
      </c>
      <c r="H623">
        <v>36</v>
      </c>
      <c r="I623" t="str">
        <f>IF(TBL[[#This Row],[Age]]&gt;=60, "Old", IF(TBL[[#This Row],[Age]]&gt;=30, "Adult", "Young"))</f>
        <v>Adult</v>
      </c>
      <c r="J623" s="1">
        <v>43330</v>
      </c>
      <c r="K623">
        <f t="shared" si="9"/>
        <v>2018</v>
      </c>
      <c r="L623">
        <f>MONTH(TBL[[#This Row],[Hire Date]])</f>
        <v>8</v>
      </c>
      <c r="M623" s="7">
        <v>223404</v>
      </c>
      <c r="N623" s="8">
        <v>0.32</v>
      </c>
      <c r="O623" t="s">
        <v>19</v>
      </c>
      <c r="P623" t="s">
        <v>29</v>
      </c>
      <c r="Q623" s="1" t="s">
        <v>21</v>
      </c>
    </row>
    <row r="624" spans="1:17" x14ac:dyDescent="0.35">
      <c r="A624" t="s">
        <v>1395</v>
      </c>
      <c r="B624" t="s">
        <v>1396</v>
      </c>
      <c r="C624" t="s">
        <v>98</v>
      </c>
      <c r="D624" t="s">
        <v>27</v>
      </c>
      <c r="E624" t="s">
        <v>44</v>
      </c>
      <c r="F624" t="s">
        <v>17</v>
      </c>
      <c r="G624" t="s">
        <v>24</v>
      </c>
      <c r="H624">
        <v>57</v>
      </c>
      <c r="I624" t="str">
        <f>IF(TBL[[#This Row],[Age]]&gt;=60, "Old", IF(TBL[[#This Row],[Age]]&gt;=30, "Adult", "Young"))</f>
        <v>Adult</v>
      </c>
      <c r="J624" s="1">
        <v>41649</v>
      </c>
      <c r="K624">
        <f t="shared" si="9"/>
        <v>2014</v>
      </c>
      <c r="L624">
        <f>MONTH(TBL[[#This Row],[Hire Date]])</f>
        <v>1</v>
      </c>
      <c r="M624" s="7">
        <v>74854</v>
      </c>
      <c r="N624" s="8">
        <v>0</v>
      </c>
      <c r="O624" t="s">
        <v>19</v>
      </c>
      <c r="P624" t="s">
        <v>63</v>
      </c>
      <c r="Q624" s="1" t="s">
        <v>21</v>
      </c>
    </row>
    <row r="625" spans="1:17" x14ac:dyDescent="0.35">
      <c r="A625" t="s">
        <v>218</v>
      </c>
      <c r="B625" t="s">
        <v>1397</v>
      </c>
      <c r="C625" t="s">
        <v>14</v>
      </c>
      <c r="D625" t="s">
        <v>65</v>
      </c>
      <c r="E625" t="s">
        <v>44</v>
      </c>
      <c r="F625" t="s">
        <v>17</v>
      </c>
      <c r="G625" t="s">
        <v>18</v>
      </c>
      <c r="H625">
        <v>48</v>
      </c>
      <c r="I625" t="str">
        <f>IF(TBL[[#This Row],[Age]]&gt;=60, "Old", IF(TBL[[#This Row],[Age]]&gt;=30, "Adult", "Young"))</f>
        <v>Adult</v>
      </c>
      <c r="J625" s="1">
        <v>39197</v>
      </c>
      <c r="K625">
        <f t="shared" si="9"/>
        <v>2007</v>
      </c>
      <c r="L625">
        <f>MONTH(TBL[[#This Row],[Hire Date]])</f>
        <v>4</v>
      </c>
      <c r="M625" s="7">
        <v>217783</v>
      </c>
      <c r="N625" s="8">
        <v>0.36</v>
      </c>
      <c r="O625" t="s">
        <v>19</v>
      </c>
      <c r="P625" t="s">
        <v>63</v>
      </c>
      <c r="Q625" s="1" t="s">
        <v>21</v>
      </c>
    </row>
    <row r="626" spans="1:17" x14ac:dyDescent="0.35">
      <c r="A626" t="s">
        <v>1398</v>
      </c>
      <c r="B626" t="s">
        <v>1399</v>
      </c>
      <c r="C626" t="s">
        <v>76</v>
      </c>
      <c r="D626" t="s">
        <v>27</v>
      </c>
      <c r="E626" t="s">
        <v>36</v>
      </c>
      <c r="F626" t="s">
        <v>17</v>
      </c>
      <c r="G626" t="s">
        <v>51</v>
      </c>
      <c r="H626">
        <v>53</v>
      </c>
      <c r="I626" t="str">
        <f>IF(TBL[[#This Row],[Age]]&gt;=60, "Old", IF(TBL[[#This Row],[Age]]&gt;=30, "Adult", "Young"))</f>
        <v>Adult</v>
      </c>
      <c r="J626" s="1">
        <v>38214</v>
      </c>
      <c r="K626">
        <f t="shared" si="9"/>
        <v>2004</v>
      </c>
      <c r="L626">
        <f>MONTH(TBL[[#This Row],[Hire Date]])</f>
        <v>8</v>
      </c>
      <c r="M626" s="7">
        <v>44735</v>
      </c>
      <c r="N626" s="8">
        <v>0</v>
      </c>
      <c r="O626" t="s">
        <v>52</v>
      </c>
      <c r="P626" t="s">
        <v>81</v>
      </c>
      <c r="Q626" s="1" t="s">
        <v>21</v>
      </c>
    </row>
    <row r="627" spans="1:17" x14ac:dyDescent="0.35">
      <c r="A627" t="s">
        <v>357</v>
      </c>
      <c r="B627" t="s">
        <v>1400</v>
      </c>
      <c r="C627" t="s">
        <v>64</v>
      </c>
      <c r="D627" t="s">
        <v>15</v>
      </c>
      <c r="E627" t="s">
        <v>36</v>
      </c>
      <c r="F627" t="s">
        <v>17</v>
      </c>
      <c r="G627" t="s">
        <v>18</v>
      </c>
      <c r="H627">
        <v>41</v>
      </c>
      <c r="I627" t="str">
        <f>IF(TBL[[#This Row],[Age]]&gt;=60, "Old", IF(TBL[[#This Row],[Age]]&gt;=30, "Adult", "Young"))</f>
        <v>Adult</v>
      </c>
      <c r="J627" s="1">
        <v>39091</v>
      </c>
      <c r="K627">
        <f t="shared" si="9"/>
        <v>2007</v>
      </c>
      <c r="L627">
        <f>MONTH(TBL[[#This Row],[Hire Date]])</f>
        <v>1</v>
      </c>
      <c r="M627" s="7">
        <v>50685</v>
      </c>
      <c r="N627" s="8">
        <v>0</v>
      </c>
      <c r="O627" t="s">
        <v>19</v>
      </c>
      <c r="P627" t="s">
        <v>29</v>
      </c>
      <c r="Q627" s="1" t="s">
        <v>21</v>
      </c>
    </row>
    <row r="628" spans="1:17" x14ac:dyDescent="0.35">
      <c r="A628" t="s">
        <v>1401</v>
      </c>
      <c r="B628" t="s">
        <v>1402</v>
      </c>
      <c r="C628" t="s">
        <v>64</v>
      </c>
      <c r="D628" t="s">
        <v>50</v>
      </c>
      <c r="E628" t="s">
        <v>16</v>
      </c>
      <c r="F628" t="s">
        <v>28</v>
      </c>
      <c r="G628" t="s">
        <v>24</v>
      </c>
      <c r="H628">
        <v>34</v>
      </c>
      <c r="I628" t="str">
        <f>IF(TBL[[#This Row],[Age]]&gt;=60, "Old", IF(TBL[[#This Row],[Age]]&gt;=30, "Adult", "Young"))</f>
        <v>Adult</v>
      </c>
      <c r="J628" s="1">
        <v>43169</v>
      </c>
      <c r="K628">
        <f t="shared" si="9"/>
        <v>2018</v>
      </c>
      <c r="L628">
        <f>MONTH(TBL[[#This Row],[Hire Date]])</f>
        <v>3</v>
      </c>
      <c r="M628" s="7">
        <v>58993</v>
      </c>
      <c r="N628" s="8">
        <v>0</v>
      </c>
      <c r="O628" t="s">
        <v>19</v>
      </c>
      <c r="P628" t="s">
        <v>25</v>
      </c>
      <c r="Q628" s="1" t="s">
        <v>21</v>
      </c>
    </row>
    <row r="629" spans="1:17" x14ac:dyDescent="0.35">
      <c r="A629" t="s">
        <v>1403</v>
      </c>
      <c r="B629" t="s">
        <v>1404</v>
      </c>
      <c r="C629" t="s">
        <v>69</v>
      </c>
      <c r="D629" t="s">
        <v>31</v>
      </c>
      <c r="E629" t="s">
        <v>32</v>
      </c>
      <c r="F629" t="s">
        <v>28</v>
      </c>
      <c r="G629" t="s">
        <v>18</v>
      </c>
      <c r="H629">
        <v>47</v>
      </c>
      <c r="I629" t="str">
        <f>IF(TBL[[#This Row],[Age]]&gt;=60, "Old", IF(TBL[[#This Row],[Age]]&gt;=30, "Adult", "Young"))</f>
        <v>Adult</v>
      </c>
      <c r="J629" s="1">
        <v>43990</v>
      </c>
      <c r="K629">
        <f t="shared" si="9"/>
        <v>2020</v>
      </c>
      <c r="L629">
        <f>MONTH(TBL[[#This Row],[Hire Date]])</f>
        <v>6</v>
      </c>
      <c r="M629" s="7">
        <v>115765</v>
      </c>
      <c r="N629" s="8">
        <v>0</v>
      </c>
      <c r="O629" t="s">
        <v>19</v>
      </c>
      <c r="P629" t="s">
        <v>45</v>
      </c>
      <c r="Q629" s="1">
        <v>44229</v>
      </c>
    </row>
    <row r="630" spans="1:17" x14ac:dyDescent="0.35">
      <c r="A630" t="s">
        <v>1405</v>
      </c>
      <c r="B630" t="s">
        <v>1406</v>
      </c>
      <c r="C630" t="s">
        <v>40</v>
      </c>
      <c r="D630" t="s">
        <v>65</v>
      </c>
      <c r="E630" t="s">
        <v>36</v>
      </c>
      <c r="F630" t="s">
        <v>17</v>
      </c>
      <c r="G630" t="s">
        <v>24</v>
      </c>
      <c r="H630">
        <v>63</v>
      </c>
      <c r="I630" t="str">
        <f>IF(TBL[[#This Row],[Age]]&gt;=60, "Old", IF(TBL[[#This Row],[Age]]&gt;=30, "Adult", "Young"))</f>
        <v>Old</v>
      </c>
      <c r="J630" s="1">
        <v>39147</v>
      </c>
      <c r="K630">
        <f t="shared" si="9"/>
        <v>2007</v>
      </c>
      <c r="L630">
        <f>MONTH(TBL[[#This Row],[Hire Date]])</f>
        <v>3</v>
      </c>
      <c r="M630" s="7">
        <v>193044</v>
      </c>
      <c r="N630" s="8">
        <v>0.15</v>
      </c>
      <c r="O630" t="s">
        <v>19</v>
      </c>
      <c r="P630" t="s">
        <v>45</v>
      </c>
      <c r="Q630" s="1" t="s">
        <v>21</v>
      </c>
    </row>
    <row r="631" spans="1:17" x14ac:dyDescent="0.35">
      <c r="A631" t="s">
        <v>1407</v>
      </c>
      <c r="B631" t="s">
        <v>1408</v>
      </c>
      <c r="C631" t="s">
        <v>68</v>
      </c>
      <c r="D631" t="s">
        <v>43</v>
      </c>
      <c r="E631" t="s">
        <v>16</v>
      </c>
      <c r="F631" t="s">
        <v>17</v>
      </c>
      <c r="G631" t="s">
        <v>47</v>
      </c>
      <c r="H631">
        <v>65</v>
      </c>
      <c r="I631" t="str">
        <f>IF(TBL[[#This Row],[Age]]&gt;=60, "Old", IF(TBL[[#This Row],[Age]]&gt;=30, "Adult", "Young"))</f>
        <v>Old</v>
      </c>
      <c r="J631" s="1">
        <v>40711</v>
      </c>
      <c r="K631">
        <f t="shared" si="9"/>
        <v>2011</v>
      </c>
      <c r="L631">
        <f>MONTH(TBL[[#This Row],[Hire Date]])</f>
        <v>6</v>
      </c>
      <c r="M631" s="7">
        <v>56686</v>
      </c>
      <c r="N631" s="8">
        <v>0</v>
      </c>
      <c r="O631" t="s">
        <v>19</v>
      </c>
      <c r="P631" t="s">
        <v>63</v>
      </c>
      <c r="Q631" s="1">
        <v>42164</v>
      </c>
    </row>
    <row r="632" spans="1:17" x14ac:dyDescent="0.35">
      <c r="A632" t="s">
        <v>1409</v>
      </c>
      <c r="B632" t="s">
        <v>1410</v>
      </c>
      <c r="C632" t="s">
        <v>61</v>
      </c>
      <c r="D632" t="s">
        <v>15</v>
      </c>
      <c r="E632" t="s">
        <v>36</v>
      </c>
      <c r="F632" t="s">
        <v>17</v>
      </c>
      <c r="G632" t="s">
        <v>47</v>
      </c>
      <c r="H632">
        <v>33</v>
      </c>
      <c r="I632" t="str">
        <f>IF(TBL[[#This Row],[Age]]&gt;=60, "Old", IF(TBL[[#This Row],[Age]]&gt;=30, "Adult", "Young"))</f>
        <v>Adult</v>
      </c>
      <c r="J632" s="1">
        <v>43763</v>
      </c>
      <c r="K632">
        <f t="shared" si="9"/>
        <v>2019</v>
      </c>
      <c r="L632">
        <f>MONTH(TBL[[#This Row],[Hire Date]])</f>
        <v>10</v>
      </c>
      <c r="M632" s="7">
        <v>131652</v>
      </c>
      <c r="N632" s="8">
        <v>0.11</v>
      </c>
      <c r="O632" t="s">
        <v>19</v>
      </c>
      <c r="P632" t="s">
        <v>63</v>
      </c>
      <c r="Q632" s="1" t="s">
        <v>21</v>
      </c>
    </row>
    <row r="633" spans="1:17" x14ac:dyDescent="0.35">
      <c r="A633" t="s">
        <v>1411</v>
      </c>
      <c r="B633" t="s">
        <v>1412</v>
      </c>
      <c r="C633" t="s">
        <v>40</v>
      </c>
      <c r="D633" t="s">
        <v>43</v>
      </c>
      <c r="E633" t="s">
        <v>36</v>
      </c>
      <c r="F633" t="s">
        <v>17</v>
      </c>
      <c r="G633" t="s">
        <v>47</v>
      </c>
      <c r="H633">
        <v>45</v>
      </c>
      <c r="I633" t="str">
        <f>IF(TBL[[#This Row],[Age]]&gt;=60, "Old", IF(TBL[[#This Row],[Age]]&gt;=30, "Adult", "Young"))</f>
        <v>Adult</v>
      </c>
      <c r="J633" s="1">
        <v>39507</v>
      </c>
      <c r="K633">
        <f t="shared" si="9"/>
        <v>2008</v>
      </c>
      <c r="L633">
        <f>MONTH(TBL[[#This Row],[Hire Date]])</f>
        <v>2</v>
      </c>
      <c r="M633" s="7">
        <v>150577</v>
      </c>
      <c r="N633" s="8">
        <v>0.25</v>
      </c>
      <c r="O633" t="s">
        <v>19</v>
      </c>
      <c r="P633" t="s">
        <v>45</v>
      </c>
      <c r="Q633" s="1" t="s">
        <v>21</v>
      </c>
    </row>
    <row r="634" spans="1:17" x14ac:dyDescent="0.35">
      <c r="A634" t="s">
        <v>345</v>
      </c>
      <c r="B634" t="s">
        <v>1413</v>
      </c>
      <c r="C634" t="s">
        <v>97</v>
      </c>
      <c r="D634" t="s">
        <v>31</v>
      </c>
      <c r="E634" t="s">
        <v>16</v>
      </c>
      <c r="F634" t="s">
        <v>17</v>
      </c>
      <c r="G634" t="s">
        <v>51</v>
      </c>
      <c r="H634">
        <v>37</v>
      </c>
      <c r="I634" t="str">
        <f>IF(TBL[[#This Row],[Age]]&gt;=60, "Old", IF(TBL[[#This Row],[Age]]&gt;=30, "Adult", "Young"))</f>
        <v>Adult</v>
      </c>
      <c r="J634" s="1">
        <v>43461</v>
      </c>
      <c r="K634">
        <f t="shared" si="9"/>
        <v>2018</v>
      </c>
      <c r="L634">
        <f>MONTH(TBL[[#This Row],[Hire Date]])</f>
        <v>12</v>
      </c>
      <c r="M634" s="7">
        <v>87359</v>
      </c>
      <c r="N634" s="8">
        <v>0.11</v>
      </c>
      <c r="O634" t="s">
        <v>52</v>
      </c>
      <c r="P634" t="s">
        <v>66</v>
      </c>
      <c r="Q634" s="1" t="s">
        <v>21</v>
      </c>
    </row>
    <row r="635" spans="1:17" x14ac:dyDescent="0.35">
      <c r="A635" t="s">
        <v>1414</v>
      </c>
      <c r="B635" t="s">
        <v>1415</v>
      </c>
      <c r="C635" t="s">
        <v>64</v>
      </c>
      <c r="D635" t="s">
        <v>50</v>
      </c>
      <c r="E635" t="s">
        <v>44</v>
      </c>
      <c r="F635" t="s">
        <v>17</v>
      </c>
      <c r="G635" t="s">
        <v>24</v>
      </c>
      <c r="H635">
        <v>60</v>
      </c>
      <c r="I635" t="str">
        <f>IF(TBL[[#This Row],[Age]]&gt;=60, "Old", IF(TBL[[#This Row],[Age]]&gt;=30, "Adult", "Young"))</f>
        <v>Old</v>
      </c>
      <c r="J635" s="1">
        <v>41647</v>
      </c>
      <c r="K635">
        <f t="shared" si="9"/>
        <v>2014</v>
      </c>
      <c r="L635">
        <f>MONTH(TBL[[#This Row],[Hire Date]])</f>
        <v>1</v>
      </c>
      <c r="M635" s="7">
        <v>51877</v>
      </c>
      <c r="N635" s="8">
        <v>0</v>
      </c>
      <c r="O635" t="s">
        <v>33</v>
      </c>
      <c r="P635" t="s">
        <v>60</v>
      </c>
      <c r="Q635" s="1" t="s">
        <v>21</v>
      </c>
    </row>
    <row r="636" spans="1:17" x14ac:dyDescent="0.35">
      <c r="A636" t="s">
        <v>570</v>
      </c>
      <c r="B636" t="s">
        <v>1416</v>
      </c>
      <c r="C636" t="s">
        <v>88</v>
      </c>
      <c r="D636" t="s">
        <v>27</v>
      </c>
      <c r="E636" t="s">
        <v>36</v>
      </c>
      <c r="F636" t="s">
        <v>28</v>
      </c>
      <c r="G636" t="s">
        <v>24</v>
      </c>
      <c r="H636">
        <v>43</v>
      </c>
      <c r="I636" t="str">
        <f>IF(TBL[[#This Row],[Age]]&gt;=60, "Old", IF(TBL[[#This Row],[Age]]&gt;=30, "Adult", "Young"))</f>
        <v>Adult</v>
      </c>
      <c r="J636" s="1">
        <v>42753</v>
      </c>
      <c r="K636">
        <f t="shared" si="9"/>
        <v>2017</v>
      </c>
      <c r="L636">
        <f>MONTH(TBL[[#This Row],[Hire Date]])</f>
        <v>1</v>
      </c>
      <c r="M636" s="7">
        <v>86417</v>
      </c>
      <c r="N636" s="8">
        <v>0</v>
      </c>
      <c r="O636" t="s">
        <v>19</v>
      </c>
      <c r="P636" t="s">
        <v>20</v>
      </c>
      <c r="Q636" s="1" t="s">
        <v>21</v>
      </c>
    </row>
    <row r="637" spans="1:17" x14ac:dyDescent="0.35">
      <c r="A637" t="s">
        <v>1417</v>
      </c>
      <c r="B637" t="s">
        <v>1418</v>
      </c>
      <c r="C637" t="s">
        <v>98</v>
      </c>
      <c r="D637" t="s">
        <v>27</v>
      </c>
      <c r="E637" t="s">
        <v>16</v>
      </c>
      <c r="F637" t="s">
        <v>17</v>
      </c>
      <c r="G637" t="s">
        <v>24</v>
      </c>
      <c r="H637">
        <v>65</v>
      </c>
      <c r="I637" t="str">
        <f>IF(TBL[[#This Row],[Age]]&gt;=60, "Old", IF(TBL[[#This Row],[Age]]&gt;=30, "Adult", "Young"))</f>
        <v>Old</v>
      </c>
      <c r="J637" s="1">
        <v>37749</v>
      </c>
      <c r="K637">
        <f t="shared" si="9"/>
        <v>2003</v>
      </c>
      <c r="L637">
        <f>MONTH(TBL[[#This Row],[Hire Date]])</f>
        <v>5</v>
      </c>
      <c r="M637" s="7">
        <v>96548</v>
      </c>
      <c r="N637" s="8">
        <v>0</v>
      </c>
      <c r="O637" t="s">
        <v>19</v>
      </c>
      <c r="P637" t="s">
        <v>25</v>
      </c>
      <c r="Q637" s="1" t="s">
        <v>21</v>
      </c>
    </row>
    <row r="638" spans="1:17" x14ac:dyDescent="0.35">
      <c r="A638" t="s">
        <v>1419</v>
      </c>
      <c r="B638" t="s">
        <v>1420</v>
      </c>
      <c r="C638" t="s">
        <v>42</v>
      </c>
      <c r="D638" t="s">
        <v>65</v>
      </c>
      <c r="E638" t="s">
        <v>36</v>
      </c>
      <c r="F638" t="s">
        <v>17</v>
      </c>
      <c r="G638" t="s">
        <v>24</v>
      </c>
      <c r="H638">
        <v>43</v>
      </c>
      <c r="I638" t="str">
        <f>IF(TBL[[#This Row],[Age]]&gt;=60, "Old", IF(TBL[[#This Row],[Age]]&gt;=30, "Adult", "Young"))</f>
        <v>Adult</v>
      </c>
      <c r="J638" s="1">
        <v>41662</v>
      </c>
      <c r="K638">
        <f t="shared" si="9"/>
        <v>2014</v>
      </c>
      <c r="L638">
        <f>MONTH(TBL[[#This Row],[Hire Date]])</f>
        <v>1</v>
      </c>
      <c r="M638" s="7">
        <v>92940</v>
      </c>
      <c r="N638" s="8">
        <v>0</v>
      </c>
      <c r="O638" t="s">
        <v>33</v>
      </c>
      <c r="P638" t="s">
        <v>34</v>
      </c>
      <c r="Q638" s="1" t="s">
        <v>21</v>
      </c>
    </row>
    <row r="639" spans="1:17" x14ac:dyDescent="0.35">
      <c r="A639" t="s">
        <v>37</v>
      </c>
      <c r="B639" t="s">
        <v>1421</v>
      </c>
      <c r="C639" t="s">
        <v>64</v>
      </c>
      <c r="D639" t="s">
        <v>65</v>
      </c>
      <c r="E639" t="s">
        <v>44</v>
      </c>
      <c r="F639" t="s">
        <v>28</v>
      </c>
      <c r="G639" t="s">
        <v>24</v>
      </c>
      <c r="H639">
        <v>28</v>
      </c>
      <c r="I639" t="str">
        <f>IF(TBL[[#This Row],[Age]]&gt;=60, "Old", IF(TBL[[#This Row],[Age]]&gt;=30, "Adult", "Young"))</f>
        <v>Young</v>
      </c>
      <c r="J639" s="1">
        <v>43336</v>
      </c>
      <c r="K639">
        <f t="shared" si="9"/>
        <v>2018</v>
      </c>
      <c r="L639">
        <f>MONTH(TBL[[#This Row],[Hire Date]])</f>
        <v>8</v>
      </c>
      <c r="M639" s="7">
        <v>61410</v>
      </c>
      <c r="N639" s="8">
        <v>0</v>
      </c>
      <c r="O639" t="s">
        <v>19</v>
      </c>
      <c r="P639" t="s">
        <v>39</v>
      </c>
      <c r="Q639" s="1" t="s">
        <v>21</v>
      </c>
    </row>
    <row r="640" spans="1:17" x14ac:dyDescent="0.35">
      <c r="A640" t="s">
        <v>1422</v>
      </c>
      <c r="B640" t="s">
        <v>1423</v>
      </c>
      <c r="C640" t="s">
        <v>62</v>
      </c>
      <c r="D640" t="s">
        <v>15</v>
      </c>
      <c r="E640" t="s">
        <v>44</v>
      </c>
      <c r="F640" t="s">
        <v>17</v>
      </c>
      <c r="G640" t="s">
        <v>47</v>
      </c>
      <c r="H640">
        <v>61</v>
      </c>
      <c r="I640" t="str">
        <f>IF(TBL[[#This Row],[Age]]&gt;=60, "Old", IF(TBL[[#This Row],[Age]]&gt;=30, "Adult", "Young"))</f>
        <v>Old</v>
      </c>
      <c r="J640" s="1">
        <v>40293</v>
      </c>
      <c r="K640">
        <f t="shared" si="9"/>
        <v>2010</v>
      </c>
      <c r="L640">
        <f>MONTH(TBL[[#This Row],[Hire Date]])</f>
        <v>4</v>
      </c>
      <c r="M640" s="7">
        <v>110302</v>
      </c>
      <c r="N640" s="8">
        <v>0.06</v>
      </c>
      <c r="O640" t="s">
        <v>19</v>
      </c>
      <c r="P640" t="s">
        <v>45</v>
      </c>
      <c r="Q640" s="1" t="s">
        <v>21</v>
      </c>
    </row>
    <row r="641" spans="1:17" x14ac:dyDescent="0.35">
      <c r="A641" t="s">
        <v>1424</v>
      </c>
      <c r="B641" t="s">
        <v>1425</v>
      </c>
      <c r="C641" t="s">
        <v>40</v>
      </c>
      <c r="D641" t="s">
        <v>31</v>
      </c>
      <c r="E641" t="s">
        <v>44</v>
      </c>
      <c r="F641" t="s">
        <v>17</v>
      </c>
      <c r="G641" t="s">
        <v>47</v>
      </c>
      <c r="H641">
        <v>45</v>
      </c>
      <c r="I641" t="str">
        <f>IF(TBL[[#This Row],[Age]]&gt;=60, "Old", IF(TBL[[#This Row],[Age]]&gt;=30, "Adult", "Young"))</f>
        <v>Adult</v>
      </c>
      <c r="J641" s="1">
        <v>43212</v>
      </c>
      <c r="K641">
        <f t="shared" si="9"/>
        <v>2018</v>
      </c>
      <c r="L641">
        <f>MONTH(TBL[[#This Row],[Hire Date]])</f>
        <v>4</v>
      </c>
      <c r="M641" s="7">
        <v>187205</v>
      </c>
      <c r="N641" s="8">
        <v>0.24</v>
      </c>
      <c r="O641" t="s">
        <v>19</v>
      </c>
      <c r="P641" t="s">
        <v>29</v>
      </c>
      <c r="Q641" s="1">
        <v>44732</v>
      </c>
    </row>
    <row r="642" spans="1:17" x14ac:dyDescent="0.35">
      <c r="A642" t="s">
        <v>1426</v>
      </c>
      <c r="B642" t="s">
        <v>1427</v>
      </c>
      <c r="C642" t="s">
        <v>42</v>
      </c>
      <c r="D642" t="s">
        <v>50</v>
      </c>
      <c r="E642" t="s">
        <v>32</v>
      </c>
      <c r="F642" t="s">
        <v>28</v>
      </c>
      <c r="G642" t="s">
        <v>18</v>
      </c>
      <c r="H642">
        <v>45</v>
      </c>
      <c r="I642" t="str">
        <f>IF(TBL[[#This Row],[Age]]&gt;=60, "Old", IF(TBL[[#This Row],[Age]]&gt;=30, "Adult", "Young"))</f>
        <v>Adult</v>
      </c>
      <c r="J642" s="1">
        <v>40618</v>
      </c>
      <c r="K642">
        <f t="shared" ref="K642:K705" si="10">YEAR(--J642)</f>
        <v>2011</v>
      </c>
      <c r="L642">
        <f>MONTH(TBL[[#This Row],[Hire Date]])</f>
        <v>3</v>
      </c>
      <c r="M642" s="7">
        <v>81687</v>
      </c>
      <c r="N642" s="8">
        <v>0</v>
      </c>
      <c r="O642" t="s">
        <v>19</v>
      </c>
      <c r="P642" t="s">
        <v>39</v>
      </c>
      <c r="Q642" s="1" t="s">
        <v>21</v>
      </c>
    </row>
    <row r="643" spans="1:17" x14ac:dyDescent="0.35">
      <c r="A643" t="s">
        <v>1428</v>
      </c>
      <c r="B643" t="s">
        <v>1429</v>
      </c>
      <c r="C643" t="s">
        <v>14</v>
      </c>
      <c r="D643" t="s">
        <v>27</v>
      </c>
      <c r="E643" t="s">
        <v>44</v>
      </c>
      <c r="F643" t="s">
        <v>28</v>
      </c>
      <c r="G643" t="s">
        <v>51</v>
      </c>
      <c r="H643">
        <v>54</v>
      </c>
      <c r="I643" t="str">
        <f>IF(TBL[[#This Row],[Age]]&gt;=60, "Old", IF(TBL[[#This Row],[Age]]&gt;=30, "Adult", "Young"))</f>
        <v>Adult</v>
      </c>
      <c r="J643" s="1">
        <v>40040</v>
      </c>
      <c r="K643">
        <f t="shared" si="10"/>
        <v>2009</v>
      </c>
      <c r="L643">
        <f>MONTH(TBL[[#This Row],[Hire Date]])</f>
        <v>8</v>
      </c>
      <c r="M643" s="7">
        <v>241083</v>
      </c>
      <c r="N643" s="8">
        <v>0.39</v>
      </c>
      <c r="O643" t="s">
        <v>19</v>
      </c>
      <c r="P643" t="s">
        <v>29</v>
      </c>
      <c r="Q643" s="1" t="s">
        <v>21</v>
      </c>
    </row>
    <row r="644" spans="1:17" x14ac:dyDescent="0.35">
      <c r="A644" t="s">
        <v>121</v>
      </c>
      <c r="B644" t="s">
        <v>1430</v>
      </c>
      <c r="C644" t="s">
        <v>14</v>
      </c>
      <c r="D644" t="s">
        <v>15</v>
      </c>
      <c r="E644" t="s">
        <v>44</v>
      </c>
      <c r="F644" t="s">
        <v>17</v>
      </c>
      <c r="G644" t="s">
        <v>47</v>
      </c>
      <c r="H644">
        <v>38</v>
      </c>
      <c r="I644" t="str">
        <f>IF(TBL[[#This Row],[Age]]&gt;=60, "Old", IF(TBL[[#This Row],[Age]]&gt;=30, "Adult", "Young"))</f>
        <v>Adult</v>
      </c>
      <c r="J644" s="1">
        <v>43413</v>
      </c>
      <c r="K644">
        <f t="shared" si="10"/>
        <v>2018</v>
      </c>
      <c r="L644">
        <f>MONTH(TBL[[#This Row],[Hire Date]])</f>
        <v>11</v>
      </c>
      <c r="M644" s="7">
        <v>223805</v>
      </c>
      <c r="N644" s="8">
        <v>0.36</v>
      </c>
      <c r="O644" t="s">
        <v>19</v>
      </c>
      <c r="P644" t="s">
        <v>20</v>
      </c>
      <c r="Q644" s="1" t="s">
        <v>21</v>
      </c>
    </row>
    <row r="645" spans="1:17" x14ac:dyDescent="0.35">
      <c r="A645" t="s">
        <v>408</v>
      </c>
      <c r="B645" t="s">
        <v>1431</v>
      </c>
      <c r="C645" t="s">
        <v>40</v>
      </c>
      <c r="D645" t="s">
        <v>65</v>
      </c>
      <c r="E645" t="s">
        <v>32</v>
      </c>
      <c r="F645" t="s">
        <v>17</v>
      </c>
      <c r="G645" t="s">
        <v>18</v>
      </c>
      <c r="H645">
        <v>27</v>
      </c>
      <c r="I645" t="str">
        <f>IF(TBL[[#This Row],[Age]]&gt;=60, "Old", IF(TBL[[#This Row],[Age]]&gt;=30, "Adult", "Young"))</f>
        <v>Young</v>
      </c>
      <c r="J645" s="1">
        <v>44393</v>
      </c>
      <c r="K645">
        <f t="shared" si="10"/>
        <v>2021</v>
      </c>
      <c r="L645">
        <f>MONTH(TBL[[#This Row],[Hire Date]])</f>
        <v>7</v>
      </c>
      <c r="M645" s="7">
        <v>161759</v>
      </c>
      <c r="N645" s="8">
        <v>0.16</v>
      </c>
      <c r="O645" t="s">
        <v>19</v>
      </c>
      <c r="P645" t="s">
        <v>45</v>
      </c>
      <c r="Q645" s="1" t="s">
        <v>21</v>
      </c>
    </row>
    <row r="646" spans="1:17" x14ac:dyDescent="0.35">
      <c r="A646" t="s">
        <v>1432</v>
      </c>
      <c r="B646" t="s">
        <v>1433</v>
      </c>
      <c r="C646" t="s">
        <v>56</v>
      </c>
      <c r="D646" t="s">
        <v>27</v>
      </c>
      <c r="E646" t="s">
        <v>16</v>
      </c>
      <c r="F646" t="s">
        <v>28</v>
      </c>
      <c r="G646" t="s">
        <v>47</v>
      </c>
      <c r="H646">
        <v>40</v>
      </c>
      <c r="I646" t="str">
        <f>IF(TBL[[#This Row],[Age]]&gt;=60, "Old", IF(TBL[[#This Row],[Age]]&gt;=30, "Adult", "Young"))</f>
        <v>Adult</v>
      </c>
      <c r="J646" s="1">
        <v>43520</v>
      </c>
      <c r="K646">
        <f t="shared" si="10"/>
        <v>2019</v>
      </c>
      <c r="L646">
        <f>MONTH(TBL[[#This Row],[Hire Date]])</f>
        <v>2</v>
      </c>
      <c r="M646" s="7">
        <v>95899</v>
      </c>
      <c r="N646" s="8">
        <v>0.1</v>
      </c>
      <c r="O646" t="s">
        <v>19</v>
      </c>
      <c r="P646" t="s">
        <v>29</v>
      </c>
      <c r="Q646" s="1">
        <v>44263</v>
      </c>
    </row>
    <row r="647" spans="1:17" x14ac:dyDescent="0.35">
      <c r="A647" t="s">
        <v>1434</v>
      </c>
      <c r="B647" t="s">
        <v>1435</v>
      </c>
      <c r="C647" t="s">
        <v>42</v>
      </c>
      <c r="D647" t="s">
        <v>15</v>
      </c>
      <c r="E647" t="s">
        <v>32</v>
      </c>
      <c r="F647" t="s">
        <v>28</v>
      </c>
      <c r="G647" t="s">
        <v>24</v>
      </c>
      <c r="H647">
        <v>49</v>
      </c>
      <c r="I647" t="str">
        <f>IF(TBL[[#This Row],[Age]]&gt;=60, "Old", IF(TBL[[#This Row],[Age]]&gt;=30, "Adult", "Young"))</f>
        <v>Adult</v>
      </c>
      <c r="J647" s="1">
        <v>43623</v>
      </c>
      <c r="K647">
        <f t="shared" si="10"/>
        <v>2019</v>
      </c>
      <c r="L647">
        <f>MONTH(TBL[[#This Row],[Hire Date]])</f>
        <v>6</v>
      </c>
      <c r="M647" s="7">
        <v>80700</v>
      </c>
      <c r="N647" s="8">
        <v>0</v>
      </c>
      <c r="O647" t="s">
        <v>19</v>
      </c>
      <c r="P647" t="s">
        <v>29</v>
      </c>
      <c r="Q647" s="1" t="s">
        <v>21</v>
      </c>
    </row>
    <row r="648" spans="1:17" x14ac:dyDescent="0.35">
      <c r="A648" t="s">
        <v>173</v>
      </c>
      <c r="B648" t="s">
        <v>1436</v>
      </c>
      <c r="C648" t="s">
        <v>62</v>
      </c>
      <c r="D648" t="s">
        <v>23</v>
      </c>
      <c r="E648" t="s">
        <v>44</v>
      </c>
      <c r="F648" t="s">
        <v>28</v>
      </c>
      <c r="G648" t="s">
        <v>24</v>
      </c>
      <c r="H648">
        <v>54</v>
      </c>
      <c r="I648" t="str">
        <f>IF(TBL[[#This Row],[Age]]&gt;=60, "Old", IF(TBL[[#This Row],[Age]]&gt;=30, "Adult", "Young"))</f>
        <v>Adult</v>
      </c>
      <c r="J648" s="1">
        <v>35500</v>
      </c>
      <c r="K648">
        <f t="shared" si="10"/>
        <v>1997</v>
      </c>
      <c r="L648">
        <f>MONTH(TBL[[#This Row],[Hire Date]])</f>
        <v>3</v>
      </c>
      <c r="M648" s="7">
        <v>128136</v>
      </c>
      <c r="N648" s="8">
        <v>0.05</v>
      </c>
      <c r="O648" t="s">
        <v>33</v>
      </c>
      <c r="P648" t="s">
        <v>60</v>
      </c>
      <c r="Q648" s="1" t="s">
        <v>21</v>
      </c>
    </row>
    <row r="649" spans="1:17" x14ac:dyDescent="0.35">
      <c r="A649" t="s">
        <v>172</v>
      </c>
      <c r="B649" t="s">
        <v>1437</v>
      </c>
      <c r="C649" t="s">
        <v>64</v>
      </c>
      <c r="D649" t="s">
        <v>43</v>
      </c>
      <c r="E649" t="s">
        <v>32</v>
      </c>
      <c r="F649" t="s">
        <v>17</v>
      </c>
      <c r="G649" t="s">
        <v>18</v>
      </c>
      <c r="H649">
        <v>39</v>
      </c>
      <c r="I649" t="str">
        <f>IF(TBL[[#This Row],[Age]]&gt;=60, "Old", IF(TBL[[#This Row],[Age]]&gt;=30, "Adult", "Young"))</f>
        <v>Adult</v>
      </c>
      <c r="J649" s="1">
        <v>42843</v>
      </c>
      <c r="K649">
        <f t="shared" si="10"/>
        <v>2017</v>
      </c>
      <c r="L649">
        <f>MONTH(TBL[[#This Row],[Hire Date]])</f>
        <v>4</v>
      </c>
      <c r="M649" s="7">
        <v>58745</v>
      </c>
      <c r="N649" s="8">
        <v>0</v>
      </c>
      <c r="O649" t="s">
        <v>19</v>
      </c>
      <c r="P649" t="s">
        <v>25</v>
      </c>
      <c r="Q649" s="1" t="s">
        <v>21</v>
      </c>
    </row>
    <row r="650" spans="1:17" x14ac:dyDescent="0.35">
      <c r="A650" t="s">
        <v>1438</v>
      </c>
      <c r="B650" t="s">
        <v>1439</v>
      </c>
      <c r="C650" t="s">
        <v>55</v>
      </c>
      <c r="D650" t="s">
        <v>27</v>
      </c>
      <c r="E650" t="s">
        <v>32</v>
      </c>
      <c r="F650" t="s">
        <v>17</v>
      </c>
      <c r="G650" t="s">
        <v>24</v>
      </c>
      <c r="H650">
        <v>57</v>
      </c>
      <c r="I650" t="str">
        <f>IF(TBL[[#This Row],[Age]]&gt;=60, "Old", IF(TBL[[#This Row],[Age]]&gt;=30, "Adult", "Young"))</f>
        <v>Adult</v>
      </c>
      <c r="J650" s="1">
        <v>33728</v>
      </c>
      <c r="K650">
        <f t="shared" si="10"/>
        <v>1992</v>
      </c>
      <c r="L650">
        <f>MONTH(TBL[[#This Row],[Hire Date]])</f>
        <v>5</v>
      </c>
      <c r="M650" s="7">
        <v>76202</v>
      </c>
      <c r="N650" s="8">
        <v>0</v>
      </c>
      <c r="O650" t="s">
        <v>19</v>
      </c>
      <c r="P650" t="s">
        <v>25</v>
      </c>
      <c r="Q650" s="1">
        <v>34686</v>
      </c>
    </row>
    <row r="651" spans="1:17" x14ac:dyDescent="0.35">
      <c r="A651" t="s">
        <v>361</v>
      </c>
      <c r="B651" t="s">
        <v>1440</v>
      </c>
      <c r="C651" t="s">
        <v>14</v>
      </c>
      <c r="D651" t="s">
        <v>50</v>
      </c>
      <c r="E651" t="s">
        <v>44</v>
      </c>
      <c r="F651" t="s">
        <v>28</v>
      </c>
      <c r="G651" t="s">
        <v>47</v>
      </c>
      <c r="H651">
        <v>36</v>
      </c>
      <c r="I651" t="str">
        <f>IF(TBL[[#This Row],[Age]]&gt;=60, "Old", IF(TBL[[#This Row],[Age]]&gt;=30, "Adult", "Young"))</f>
        <v>Adult</v>
      </c>
      <c r="J651" s="1">
        <v>43178</v>
      </c>
      <c r="K651">
        <f t="shared" si="10"/>
        <v>2018</v>
      </c>
      <c r="L651">
        <f>MONTH(TBL[[#This Row],[Hire Date]])</f>
        <v>3</v>
      </c>
      <c r="M651" s="7">
        <v>195200</v>
      </c>
      <c r="N651" s="8">
        <v>0.36</v>
      </c>
      <c r="O651" t="s">
        <v>19</v>
      </c>
      <c r="P651" t="s">
        <v>25</v>
      </c>
      <c r="Q651" s="1" t="s">
        <v>21</v>
      </c>
    </row>
    <row r="652" spans="1:17" x14ac:dyDescent="0.35">
      <c r="A652" t="s">
        <v>402</v>
      </c>
      <c r="B652" t="s">
        <v>1441</v>
      </c>
      <c r="C652" t="s">
        <v>64</v>
      </c>
      <c r="D652" t="s">
        <v>15</v>
      </c>
      <c r="E652" t="s">
        <v>36</v>
      </c>
      <c r="F652" t="s">
        <v>17</v>
      </c>
      <c r="G652" t="s">
        <v>24</v>
      </c>
      <c r="H652">
        <v>45</v>
      </c>
      <c r="I652" t="str">
        <f>IF(TBL[[#This Row],[Age]]&gt;=60, "Old", IF(TBL[[#This Row],[Age]]&gt;=30, "Adult", "Young"))</f>
        <v>Adult</v>
      </c>
      <c r="J652" s="1">
        <v>42711</v>
      </c>
      <c r="K652">
        <f t="shared" si="10"/>
        <v>2016</v>
      </c>
      <c r="L652">
        <f>MONTH(TBL[[#This Row],[Hire Date]])</f>
        <v>12</v>
      </c>
      <c r="M652" s="7">
        <v>71454</v>
      </c>
      <c r="N652" s="8">
        <v>0</v>
      </c>
      <c r="O652" t="s">
        <v>33</v>
      </c>
      <c r="P652" t="s">
        <v>74</v>
      </c>
      <c r="Q652" s="1" t="s">
        <v>21</v>
      </c>
    </row>
    <row r="653" spans="1:17" x14ac:dyDescent="0.35">
      <c r="A653" t="s">
        <v>196</v>
      </c>
      <c r="B653" t="s">
        <v>1442</v>
      </c>
      <c r="C653" t="s">
        <v>38</v>
      </c>
      <c r="D653" t="s">
        <v>27</v>
      </c>
      <c r="E653" t="s">
        <v>36</v>
      </c>
      <c r="F653" t="s">
        <v>17</v>
      </c>
      <c r="G653" t="s">
        <v>18</v>
      </c>
      <c r="H653">
        <v>30</v>
      </c>
      <c r="I653" t="str">
        <f>IF(TBL[[#This Row],[Age]]&gt;=60, "Old", IF(TBL[[#This Row],[Age]]&gt;=30, "Adult", "Young"))</f>
        <v>Adult</v>
      </c>
      <c r="J653" s="1">
        <v>43864</v>
      </c>
      <c r="K653">
        <f t="shared" si="10"/>
        <v>2020</v>
      </c>
      <c r="L653">
        <f>MONTH(TBL[[#This Row],[Hire Date]])</f>
        <v>2</v>
      </c>
      <c r="M653" s="7">
        <v>94652</v>
      </c>
      <c r="N653" s="8">
        <v>0</v>
      </c>
      <c r="O653" t="s">
        <v>19</v>
      </c>
      <c r="P653" t="s">
        <v>63</v>
      </c>
      <c r="Q653" s="1" t="s">
        <v>21</v>
      </c>
    </row>
    <row r="654" spans="1:17" x14ac:dyDescent="0.35">
      <c r="A654" t="s">
        <v>70</v>
      </c>
      <c r="B654" t="s">
        <v>1443</v>
      </c>
      <c r="C654" t="s">
        <v>55</v>
      </c>
      <c r="D654" t="s">
        <v>27</v>
      </c>
      <c r="E654" t="s">
        <v>36</v>
      </c>
      <c r="F654" t="s">
        <v>28</v>
      </c>
      <c r="G654" t="s">
        <v>47</v>
      </c>
      <c r="H654">
        <v>34</v>
      </c>
      <c r="I654" t="str">
        <f>IF(TBL[[#This Row],[Age]]&gt;=60, "Old", IF(TBL[[#This Row],[Age]]&gt;=30, "Adult", "Young"))</f>
        <v>Adult</v>
      </c>
      <c r="J654" s="1">
        <v>42416</v>
      </c>
      <c r="K654">
        <f t="shared" si="10"/>
        <v>2016</v>
      </c>
      <c r="L654">
        <f>MONTH(TBL[[#This Row],[Hire Date]])</f>
        <v>2</v>
      </c>
      <c r="M654" s="7">
        <v>63411</v>
      </c>
      <c r="N654" s="8">
        <v>0</v>
      </c>
      <c r="O654" t="s">
        <v>19</v>
      </c>
      <c r="P654" t="s">
        <v>45</v>
      </c>
      <c r="Q654" s="1" t="s">
        <v>21</v>
      </c>
    </row>
    <row r="655" spans="1:17" x14ac:dyDescent="0.35">
      <c r="A655" t="s">
        <v>1444</v>
      </c>
      <c r="B655" t="s">
        <v>1445</v>
      </c>
      <c r="C655" t="s">
        <v>64</v>
      </c>
      <c r="D655" t="s">
        <v>50</v>
      </c>
      <c r="E655" t="s">
        <v>44</v>
      </c>
      <c r="F655" t="s">
        <v>28</v>
      </c>
      <c r="G655" t="s">
        <v>24</v>
      </c>
      <c r="H655">
        <v>31</v>
      </c>
      <c r="I655" t="str">
        <f>IF(TBL[[#This Row],[Age]]&gt;=60, "Old", IF(TBL[[#This Row],[Age]]&gt;=30, "Adult", "Young"))</f>
        <v>Adult</v>
      </c>
      <c r="J655" s="1">
        <v>43878</v>
      </c>
      <c r="K655">
        <f t="shared" si="10"/>
        <v>2020</v>
      </c>
      <c r="L655">
        <f>MONTH(TBL[[#This Row],[Hire Date]])</f>
        <v>2</v>
      </c>
      <c r="M655" s="7">
        <v>67171</v>
      </c>
      <c r="N655" s="8">
        <v>0</v>
      </c>
      <c r="O655" t="s">
        <v>33</v>
      </c>
      <c r="P655" t="s">
        <v>80</v>
      </c>
      <c r="Q655" s="1">
        <v>44317</v>
      </c>
    </row>
    <row r="656" spans="1:17" x14ac:dyDescent="0.35">
      <c r="A656" t="s">
        <v>280</v>
      </c>
      <c r="B656" t="s">
        <v>1446</v>
      </c>
      <c r="C656" t="s">
        <v>61</v>
      </c>
      <c r="D656" t="s">
        <v>65</v>
      </c>
      <c r="E656" t="s">
        <v>44</v>
      </c>
      <c r="F656" t="s">
        <v>17</v>
      </c>
      <c r="G656" t="s">
        <v>51</v>
      </c>
      <c r="H656">
        <v>28</v>
      </c>
      <c r="I656" t="str">
        <f>IF(TBL[[#This Row],[Age]]&gt;=60, "Old", IF(TBL[[#This Row],[Age]]&gt;=30, "Adult", "Young"))</f>
        <v>Young</v>
      </c>
      <c r="J656" s="1">
        <v>43652</v>
      </c>
      <c r="K656">
        <f t="shared" si="10"/>
        <v>2019</v>
      </c>
      <c r="L656">
        <f>MONTH(TBL[[#This Row],[Hire Date]])</f>
        <v>7</v>
      </c>
      <c r="M656" s="7">
        <v>152036</v>
      </c>
      <c r="N656" s="8">
        <v>0.15</v>
      </c>
      <c r="O656" t="s">
        <v>52</v>
      </c>
      <c r="P656" t="s">
        <v>66</v>
      </c>
      <c r="Q656" s="1" t="s">
        <v>21</v>
      </c>
    </row>
    <row r="657" spans="1:17" x14ac:dyDescent="0.35">
      <c r="A657" t="s">
        <v>90</v>
      </c>
      <c r="B657" t="s">
        <v>1447</v>
      </c>
      <c r="C657" t="s">
        <v>84</v>
      </c>
      <c r="D657" t="s">
        <v>31</v>
      </c>
      <c r="E657" t="s">
        <v>36</v>
      </c>
      <c r="F657" t="s">
        <v>17</v>
      </c>
      <c r="G657" t="s">
        <v>47</v>
      </c>
      <c r="H657">
        <v>55</v>
      </c>
      <c r="I657" t="str">
        <f>IF(TBL[[#This Row],[Age]]&gt;=60, "Old", IF(TBL[[#This Row],[Age]]&gt;=30, "Adult", "Young"))</f>
        <v>Adult</v>
      </c>
      <c r="J657" s="1">
        <v>44276</v>
      </c>
      <c r="K657">
        <f t="shared" si="10"/>
        <v>2021</v>
      </c>
      <c r="L657">
        <f>MONTH(TBL[[#This Row],[Hire Date]])</f>
        <v>3</v>
      </c>
      <c r="M657" s="7">
        <v>95562</v>
      </c>
      <c r="N657" s="8">
        <v>0</v>
      </c>
      <c r="O657" t="s">
        <v>19</v>
      </c>
      <c r="P657" t="s">
        <v>20</v>
      </c>
      <c r="Q657" s="1" t="s">
        <v>21</v>
      </c>
    </row>
    <row r="658" spans="1:17" x14ac:dyDescent="0.35">
      <c r="A658" t="s">
        <v>1448</v>
      </c>
      <c r="B658" t="s">
        <v>1449</v>
      </c>
      <c r="C658" t="s">
        <v>42</v>
      </c>
      <c r="D658" t="s">
        <v>50</v>
      </c>
      <c r="E658" t="s">
        <v>16</v>
      </c>
      <c r="F658" t="s">
        <v>28</v>
      </c>
      <c r="G658" t="s">
        <v>18</v>
      </c>
      <c r="H658">
        <v>30</v>
      </c>
      <c r="I658" t="str">
        <f>IF(TBL[[#This Row],[Age]]&gt;=60, "Old", IF(TBL[[#This Row],[Age]]&gt;=30, "Adult", "Young"))</f>
        <v>Adult</v>
      </c>
      <c r="J658" s="1">
        <v>43773</v>
      </c>
      <c r="K658">
        <f t="shared" si="10"/>
        <v>2019</v>
      </c>
      <c r="L658">
        <f>MONTH(TBL[[#This Row],[Hire Date]])</f>
        <v>11</v>
      </c>
      <c r="M658" s="7">
        <v>96092</v>
      </c>
      <c r="N658" s="8">
        <v>0</v>
      </c>
      <c r="O658" t="s">
        <v>19</v>
      </c>
      <c r="P658" t="s">
        <v>25</v>
      </c>
      <c r="Q658" s="1" t="s">
        <v>21</v>
      </c>
    </row>
    <row r="659" spans="1:17" x14ac:dyDescent="0.35">
      <c r="A659" t="s">
        <v>285</v>
      </c>
      <c r="B659" t="s">
        <v>1450</v>
      </c>
      <c r="C659" t="s">
        <v>14</v>
      </c>
      <c r="D659" t="s">
        <v>31</v>
      </c>
      <c r="E659" t="s">
        <v>36</v>
      </c>
      <c r="F659" t="s">
        <v>28</v>
      </c>
      <c r="G659" t="s">
        <v>24</v>
      </c>
      <c r="H659">
        <v>63</v>
      </c>
      <c r="I659" t="str">
        <f>IF(TBL[[#This Row],[Age]]&gt;=60, "Old", IF(TBL[[#This Row],[Age]]&gt;=30, "Adult", "Young"))</f>
        <v>Old</v>
      </c>
      <c r="J659" s="1">
        <v>41428</v>
      </c>
      <c r="K659">
        <f t="shared" si="10"/>
        <v>2013</v>
      </c>
      <c r="L659">
        <f>MONTH(TBL[[#This Row],[Hire Date]])</f>
        <v>6</v>
      </c>
      <c r="M659" s="7">
        <v>254289</v>
      </c>
      <c r="N659" s="8">
        <v>0.39</v>
      </c>
      <c r="O659" t="s">
        <v>19</v>
      </c>
      <c r="P659" t="s">
        <v>20</v>
      </c>
      <c r="Q659" s="1" t="s">
        <v>21</v>
      </c>
    </row>
    <row r="660" spans="1:17" x14ac:dyDescent="0.35">
      <c r="A660" t="s">
        <v>1451</v>
      </c>
      <c r="B660" t="s">
        <v>1452</v>
      </c>
      <c r="C660" t="s">
        <v>56</v>
      </c>
      <c r="D660" t="s">
        <v>27</v>
      </c>
      <c r="E660" t="s">
        <v>16</v>
      </c>
      <c r="F660" t="s">
        <v>28</v>
      </c>
      <c r="G660" t="s">
        <v>18</v>
      </c>
      <c r="H660">
        <v>26</v>
      </c>
      <c r="I660" t="str">
        <f>IF(TBL[[#This Row],[Age]]&gt;=60, "Old", IF(TBL[[#This Row],[Age]]&gt;=30, "Adult", "Young"))</f>
        <v>Young</v>
      </c>
      <c r="J660" s="1">
        <v>43656</v>
      </c>
      <c r="K660">
        <f t="shared" si="10"/>
        <v>2019</v>
      </c>
      <c r="L660">
        <f>MONTH(TBL[[#This Row],[Hire Date]])</f>
        <v>7</v>
      </c>
      <c r="M660" s="7">
        <v>69110</v>
      </c>
      <c r="N660" s="8">
        <v>0.05</v>
      </c>
      <c r="O660" t="s">
        <v>19</v>
      </c>
      <c r="P660" t="s">
        <v>20</v>
      </c>
      <c r="Q660" s="1" t="s">
        <v>21</v>
      </c>
    </row>
    <row r="661" spans="1:17" x14ac:dyDescent="0.35">
      <c r="A661" t="s">
        <v>1453</v>
      </c>
      <c r="B661" t="s">
        <v>1454</v>
      </c>
      <c r="C661" t="s">
        <v>14</v>
      </c>
      <c r="D661" t="s">
        <v>43</v>
      </c>
      <c r="E661" t="s">
        <v>44</v>
      </c>
      <c r="F661" t="s">
        <v>28</v>
      </c>
      <c r="G661" t="s">
        <v>18</v>
      </c>
      <c r="H661">
        <v>52</v>
      </c>
      <c r="I661" t="str">
        <f>IF(TBL[[#This Row],[Age]]&gt;=60, "Old", IF(TBL[[#This Row],[Age]]&gt;=30, "Adult", "Young"))</f>
        <v>Adult</v>
      </c>
      <c r="J661" s="1">
        <v>37418</v>
      </c>
      <c r="K661">
        <f t="shared" si="10"/>
        <v>2002</v>
      </c>
      <c r="L661">
        <f>MONTH(TBL[[#This Row],[Hire Date]])</f>
        <v>6</v>
      </c>
      <c r="M661" s="7">
        <v>236314</v>
      </c>
      <c r="N661" s="8">
        <v>0.34</v>
      </c>
      <c r="O661" t="s">
        <v>19</v>
      </c>
      <c r="P661" t="s">
        <v>45</v>
      </c>
      <c r="Q661" s="1" t="s">
        <v>21</v>
      </c>
    </row>
    <row r="662" spans="1:17" x14ac:dyDescent="0.35">
      <c r="A662" t="s">
        <v>1455</v>
      </c>
      <c r="B662" t="s">
        <v>1456</v>
      </c>
      <c r="C662" t="s">
        <v>68</v>
      </c>
      <c r="D662" t="s">
        <v>43</v>
      </c>
      <c r="E662" t="s">
        <v>32</v>
      </c>
      <c r="F662" t="s">
        <v>28</v>
      </c>
      <c r="G662" t="s">
        <v>51</v>
      </c>
      <c r="H662">
        <v>51</v>
      </c>
      <c r="I662" t="str">
        <f>IF(TBL[[#This Row],[Age]]&gt;=60, "Old", IF(TBL[[#This Row],[Age]]&gt;=30, "Adult", "Young"))</f>
        <v>Adult</v>
      </c>
      <c r="J662" s="1">
        <v>39252</v>
      </c>
      <c r="K662">
        <f t="shared" si="10"/>
        <v>2007</v>
      </c>
      <c r="L662">
        <f>MONTH(TBL[[#This Row],[Hire Date]])</f>
        <v>6</v>
      </c>
      <c r="M662" s="7">
        <v>45206</v>
      </c>
      <c r="N662" s="8">
        <v>0</v>
      </c>
      <c r="O662" t="s">
        <v>19</v>
      </c>
      <c r="P662" t="s">
        <v>29</v>
      </c>
      <c r="Q662" s="1" t="s">
        <v>21</v>
      </c>
    </row>
    <row r="663" spans="1:17" x14ac:dyDescent="0.35">
      <c r="A663" t="s">
        <v>248</v>
      </c>
      <c r="B663" t="s">
        <v>1457</v>
      </c>
      <c r="C663" t="s">
        <v>14</v>
      </c>
      <c r="D663" t="s">
        <v>15</v>
      </c>
      <c r="E663" t="s">
        <v>16</v>
      </c>
      <c r="F663" t="s">
        <v>17</v>
      </c>
      <c r="G663" t="s">
        <v>24</v>
      </c>
      <c r="H663">
        <v>25</v>
      </c>
      <c r="I663" t="str">
        <f>IF(TBL[[#This Row],[Age]]&gt;=60, "Old", IF(TBL[[#This Row],[Age]]&gt;=30, "Adult", "Young"))</f>
        <v>Young</v>
      </c>
      <c r="J663" s="1">
        <v>44515</v>
      </c>
      <c r="K663">
        <f t="shared" si="10"/>
        <v>2021</v>
      </c>
      <c r="L663">
        <f>MONTH(TBL[[#This Row],[Hire Date]])</f>
        <v>11</v>
      </c>
      <c r="M663" s="7">
        <v>210708</v>
      </c>
      <c r="N663" s="8">
        <v>0.33</v>
      </c>
      <c r="O663" t="s">
        <v>19</v>
      </c>
      <c r="P663" t="s">
        <v>20</v>
      </c>
      <c r="Q663" s="1" t="s">
        <v>21</v>
      </c>
    </row>
    <row r="664" spans="1:17" x14ac:dyDescent="0.35">
      <c r="A664" t="s">
        <v>127</v>
      </c>
      <c r="B664" t="s">
        <v>1458</v>
      </c>
      <c r="C664" t="s">
        <v>98</v>
      </c>
      <c r="D664" t="s">
        <v>27</v>
      </c>
      <c r="E664" t="s">
        <v>32</v>
      </c>
      <c r="F664" t="s">
        <v>28</v>
      </c>
      <c r="G664" t="s">
        <v>51</v>
      </c>
      <c r="H664">
        <v>40</v>
      </c>
      <c r="I664" t="str">
        <f>IF(TBL[[#This Row],[Age]]&gt;=60, "Old", IF(TBL[[#This Row],[Age]]&gt;=30, "Adult", "Young"))</f>
        <v>Adult</v>
      </c>
      <c r="J664" s="1">
        <v>44465</v>
      </c>
      <c r="K664">
        <f t="shared" si="10"/>
        <v>2021</v>
      </c>
      <c r="L664">
        <f>MONTH(TBL[[#This Row],[Hire Date]])</f>
        <v>9</v>
      </c>
      <c r="M664" s="7">
        <v>87770</v>
      </c>
      <c r="N664" s="8">
        <v>0</v>
      </c>
      <c r="O664" t="s">
        <v>19</v>
      </c>
      <c r="P664" t="s">
        <v>25</v>
      </c>
      <c r="Q664" s="1" t="s">
        <v>21</v>
      </c>
    </row>
    <row r="665" spans="1:17" x14ac:dyDescent="0.35">
      <c r="A665" t="s">
        <v>1459</v>
      </c>
      <c r="B665" t="s">
        <v>1460</v>
      </c>
      <c r="C665" t="s">
        <v>62</v>
      </c>
      <c r="D665" t="s">
        <v>65</v>
      </c>
      <c r="E665" t="s">
        <v>32</v>
      </c>
      <c r="F665" t="s">
        <v>17</v>
      </c>
      <c r="G665" t="s">
        <v>18</v>
      </c>
      <c r="H665">
        <v>38</v>
      </c>
      <c r="I665" t="str">
        <f>IF(TBL[[#This Row],[Age]]&gt;=60, "Old", IF(TBL[[#This Row],[Age]]&gt;=30, "Adult", "Young"))</f>
        <v>Adult</v>
      </c>
      <c r="J665" s="1">
        <v>42228</v>
      </c>
      <c r="K665">
        <f t="shared" si="10"/>
        <v>2015</v>
      </c>
      <c r="L665">
        <f>MONTH(TBL[[#This Row],[Hire Date]])</f>
        <v>8</v>
      </c>
      <c r="M665" s="7">
        <v>106858</v>
      </c>
      <c r="N665" s="8">
        <v>0.05</v>
      </c>
      <c r="O665" t="s">
        <v>19</v>
      </c>
      <c r="P665" t="s">
        <v>63</v>
      </c>
      <c r="Q665" s="1" t="s">
        <v>21</v>
      </c>
    </row>
    <row r="666" spans="1:17" x14ac:dyDescent="0.35">
      <c r="A666" t="s">
        <v>1461</v>
      </c>
      <c r="B666" t="s">
        <v>1462</v>
      </c>
      <c r="C666" t="s">
        <v>40</v>
      </c>
      <c r="D666" t="s">
        <v>23</v>
      </c>
      <c r="E666" t="s">
        <v>32</v>
      </c>
      <c r="F666" t="s">
        <v>28</v>
      </c>
      <c r="G666" t="s">
        <v>18</v>
      </c>
      <c r="H666">
        <v>60</v>
      </c>
      <c r="I666" t="str">
        <f>IF(TBL[[#This Row],[Age]]&gt;=60, "Old", IF(TBL[[#This Row],[Age]]&gt;=30, "Adult", "Young"))</f>
        <v>Old</v>
      </c>
      <c r="J666" s="1">
        <v>42108</v>
      </c>
      <c r="K666">
        <f t="shared" si="10"/>
        <v>2015</v>
      </c>
      <c r="L666">
        <f>MONTH(TBL[[#This Row],[Hire Date]])</f>
        <v>4</v>
      </c>
      <c r="M666" s="7">
        <v>155788</v>
      </c>
      <c r="N666" s="8">
        <v>0.17</v>
      </c>
      <c r="O666" t="s">
        <v>19</v>
      </c>
      <c r="P666" t="s">
        <v>63</v>
      </c>
      <c r="Q666" s="1" t="s">
        <v>21</v>
      </c>
    </row>
    <row r="667" spans="1:17" x14ac:dyDescent="0.35">
      <c r="A667" t="s">
        <v>202</v>
      </c>
      <c r="B667" t="s">
        <v>1463</v>
      </c>
      <c r="C667" t="s">
        <v>77</v>
      </c>
      <c r="D667" t="s">
        <v>23</v>
      </c>
      <c r="E667" t="s">
        <v>44</v>
      </c>
      <c r="F667" t="s">
        <v>17</v>
      </c>
      <c r="G667" t="s">
        <v>51</v>
      </c>
      <c r="H667">
        <v>45</v>
      </c>
      <c r="I667" t="str">
        <f>IF(TBL[[#This Row],[Age]]&gt;=60, "Old", IF(TBL[[#This Row],[Age]]&gt;=30, "Adult", "Young"))</f>
        <v>Adult</v>
      </c>
      <c r="J667" s="1">
        <v>43581</v>
      </c>
      <c r="K667">
        <f t="shared" si="10"/>
        <v>2019</v>
      </c>
      <c r="L667">
        <f>MONTH(TBL[[#This Row],[Hire Date]])</f>
        <v>4</v>
      </c>
      <c r="M667" s="7">
        <v>74891</v>
      </c>
      <c r="N667" s="8">
        <v>0</v>
      </c>
      <c r="O667" t="s">
        <v>52</v>
      </c>
      <c r="P667" t="s">
        <v>66</v>
      </c>
      <c r="Q667" s="1" t="s">
        <v>21</v>
      </c>
    </row>
    <row r="668" spans="1:17" x14ac:dyDescent="0.35">
      <c r="A668" t="s">
        <v>1464</v>
      </c>
      <c r="B668" t="s">
        <v>1465</v>
      </c>
      <c r="C668" t="s">
        <v>84</v>
      </c>
      <c r="D668" t="s">
        <v>31</v>
      </c>
      <c r="E668" t="s">
        <v>32</v>
      </c>
      <c r="F668" t="s">
        <v>28</v>
      </c>
      <c r="G668" t="s">
        <v>24</v>
      </c>
      <c r="H668">
        <v>28</v>
      </c>
      <c r="I668" t="str">
        <f>IF(TBL[[#This Row],[Age]]&gt;=60, "Old", IF(TBL[[#This Row],[Age]]&gt;=30, "Adult", "Young"))</f>
        <v>Young</v>
      </c>
      <c r="J668" s="1">
        <v>44548</v>
      </c>
      <c r="K668">
        <f t="shared" si="10"/>
        <v>2021</v>
      </c>
      <c r="L668">
        <f>MONTH(TBL[[#This Row],[Hire Date]])</f>
        <v>12</v>
      </c>
      <c r="M668" s="7">
        <v>95670</v>
      </c>
      <c r="N668" s="8">
        <v>0</v>
      </c>
      <c r="O668" t="s">
        <v>19</v>
      </c>
      <c r="P668" t="s">
        <v>39</v>
      </c>
      <c r="Q668" s="1" t="s">
        <v>21</v>
      </c>
    </row>
    <row r="669" spans="1:17" x14ac:dyDescent="0.35">
      <c r="A669" t="s">
        <v>159</v>
      </c>
      <c r="B669" t="s">
        <v>1466</v>
      </c>
      <c r="C669" t="s">
        <v>94</v>
      </c>
      <c r="D669" t="s">
        <v>50</v>
      </c>
      <c r="E669" t="s">
        <v>16</v>
      </c>
      <c r="F669" t="s">
        <v>17</v>
      </c>
      <c r="G669" t="s">
        <v>47</v>
      </c>
      <c r="H669">
        <v>65</v>
      </c>
      <c r="I669" t="str">
        <f>IF(TBL[[#This Row],[Age]]&gt;=60, "Old", IF(TBL[[#This Row],[Age]]&gt;=30, "Adult", "Young"))</f>
        <v>Old</v>
      </c>
      <c r="J669" s="1">
        <v>36798</v>
      </c>
      <c r="K669">
        <f t="shared" si="10"/>
        <v>2000</v>
      </c>
      <c r="L669">
        <f>MONTH(TBL[[#This Row],[Hire Date]])</f>
        <v>9</v>
      </c>
      <c r="M669" s="7">
        <v>67837</v>
      </c>
      <c r="N669" s="8">
        <v>0</v>
      </c>
      <c r="O669" t="s">
        <v>19</v>
      </c>
      <c r="P669" t="s">
        <v>25</v>
      </c>
      <c r="Q669" s="1" t="s">
        <v>21</v>
      </c>
    </row>
    <row r="670" spans="1:17" x14ac:dyDescent="0.35">
      <c r="A670" t="s">
        <v>1467</v>
      </c>
      <c r="B670" t="s">
        <v>1468</v>
      </c>
      <c r="C670" t="s">
        <v>64</v>
      </c>
      <c r="D670" t="s">
        <v>50</v>
      </c>
      <c r="E670" t="s">
        <v>16</v>
      </c>
      <c r="F670" t="s">
        <v>28</v>
      </c>
      <c r="G670" t="s">
        <v>24</v>
      </c>
      <c r="H670">
        <v>41</v>
      </c>
      <c r="I670" t="str">
        <f>IF(TBL[[#This Row],[Age]]&gt;=60, "Old", IF(TBL[[#This Row],[Age]]&gt;=30, "Adult", "Young"))</f>
        <v>Adult</v>
      </c>
      <c r="J670" s="1">
        <v>40333</v>
      </c>
      <c r="K670">
        <f t="shared" si="10"/>
        <v>2010</v>
      </c>
      <c r="L670">
        <f>MONTH(TBL[[#This Row],[Hire Date]])</f>
        <v>6</v>
      </c>
      <c r="M670" s="7">
        <v>72425</v>
      </c>
      <c r="N670" s="8">
        <v>0</v>
      </c>
      <c r="O670" t="s">
        <v>33</v>
      </c>
      <c r="P670" t="s">
        <v>60</v>
      </c>
      <c r="Q670" s="1" t="s">
        <v>21</v>
      </c>
    </row>
    <row r="671" spans="1:17" x14ac:dyDescent="0.35">
      <c r="A671" t="s">
        <v>238</v>
      </c>
      <c r="B671" t="s">
        <v>1469</v>
      </c>
      <c r="C671" t="s">
        <v>42</v>
      </c>
      <c r="D671" t="s">
        <v>50</v>
      </c>
      <c r="E671" t="s">
        <v>32</v>
      </c>
      <c r="F671" t="s">
        <v>17</v>
      </c>
      <c r="G671" t="s">
        <v>51</v>
      </c>
      <c r="H671">
        <v>52</v>
      </c>
      <c r="I671" t="str">
        <f>IF(TBL[[#This Row],[Age]]&gt;=60, "Old", IF(TBL[[#This Row],[Age]]&gt;=30, "Adult", "Young"))</f>
        <v>Adult</v>
      </c>
      <c r="J671" s="1">
        <v>34623</v>
      </c>
      <c r="K671">
        <f t="shared" si="10"/>
        <v>1994</v>
      </c>
      <c r="L671">
        <f>MONTH(TBL[[#This Row],[Hire Date]])</f>
        <v>10</v>
      </c>
      <c r="M671" s="7">
        <v>93103</v>
      </c>
      <c r="N671" s="8">
        <v>0</v>
      </c>
      <c r="O671" t="s">
        <v>19</v>
      </c>
      <c r="P671" t="s">
        <v>39</v>
      </c>
      <c r="Q671" s="1" t="s">
        <v>21</v>
      </c>
    </row>
    <row r="672" spans="1:17" x14ac:dyDescent="0.35">
      <c r="A672" t="s">
        <v>309</v>
      </c>
      <c r="B672" t="s">
        <v>1470</v>
      </c>
      <c r="C672" t="s">
        <v>84</v>
      </c>
      <c r="D672" t="s">
        <v>31</v>
      </c>
      <c r="E672" t="s">
        <v>32</v>
      </c>
      <c r="F672" t="s">
        <v>17</v>
      </c>
      <c r="G672" t="s">
        <v>18</v>
      </c>
      <c r="H672">
        <v>56</v>
      </c>
      <c r="I672" t="str">
        <f>IF(TBL[[#This Row],[Age]]&gt;=60, "Old", IF(TBL[[#This Row],[Age]]&gt;=30, "Adult", "Young"))</f>
        <v>Adult</v>
      </c>
      <c r="J672" s="1">
        <v>42291</v>
      </c>
      <c r="K672">
        <f t="shared" si="10"/>
        <v>2015</v>
      </c>
      <c r="L672">
        <f>MONTH(TBL[[#This Row],[Hire Date]])</f>
        <v>10</v>
      </c>
      <c r="M672" s="7">
        <v>76272</v>
      </c>
      <c r="N672" s="8">
        <v>0</v>
      </c>
      <c r="O672" t="s">
        <v>19</v>
      </c>
      <c r="P672" t="s">
        <v>45</v>
      </c>
      <c r="Q672" s="1">
        <v>44491</v>
      </c>
    </row>
    <row r="673" spans="1:17" x14ac:dyDescent="0.35">
      <c r="A673" t="s">
        <v>267</v>
      </c>
      <c r="B673" t="s">
        <v>1471</v>
      </c>
      <c r="C673" t="s">
        <v>64</v>
      </c>
      <c r="D673" t="s">
        <v>15</v>
      </c>
      <c r="E673" t="s">
        <v>36</v>
      </c>
      <c r="F673" t="s">
        <v>17</v>
      </c>
      <c r="G673" t="s">
        <v>24</v>
      </c>
      <c r="H673">
        <v>48</v>
      </c>
      <c r="I673" t="str">
        <f>IF(TBL[[#This Row],[Age]]&gt;=60, "Old", IF(TBL[[#This Row],[Age]]&gt;=30, "Adult", "Young"))</f>
        <v>Adult</v>
      </c>
      <c r="J673" s="1">
        <v>37796</v>
      </c>
      <c r="K673">
        <f t="shared" si="10"/>
        <v>2003</v>
      </c>
      <c r="L673">
        <f>MONTH(TBL[[#This Row],[Hire Date]])</f>
        <v>6</v>
      </c>
      <c r="M673" s="7">
        <v>55760</v>
      </c>
      <c r="N673" s="8">
        <v>0</v>
      </c>
      <c r="O673" t="s">
        <v>19</v>
      </c>
      <c r="P673" t="s">
        <v>25</v>
      </c>
      <c r="Q673" s="1" t="s">
        <v>21</v>
      </c>
    </row>
    <row r="674" spans="1:17" x14ac:dyDescent="0.35">
      <c r="A674" t="s">
        <v>1472</v>
      </c>
      <c r="B674" t="s">
        <v>1473</v>
      </c>
      <c r="C674" t="s">
        <v>14</v>
      </c>
      <c r="D674" t="s">
        <v>65</v>
      </c>
      <c r="E674" t="s">
        <v>32</v>
      </c>
      <c r="F674" t="s">
        <v>17</v>
      </c>
      <c r="G674" t="s">
        <v>18</v>
      </c>
      <c r="H674">
        <v>36</v>
      </c>
      <c r="I674" t="str">
        <f>IF(TBL[[#This Row],[Age]]&gt;=60, "Old", IF(TBL[[#This Row],[Age]]&gt;=30, "Adult", "Young"))</f>
        <v>Adult</v>
      </c>
      <c r="J674" s="1">
        <v>43843</v>
      </c>
      <c r="K674">
        <f t="shared" si="10"/>
        <v>2020</v>
      </c>
      <c r="L674">
        <f>MONTH(TBL[[#This Row],[Hire Date]])</f>
        <v>1</v>
      </c>
      <c r="M674" s="7">
        <v>253294</v>
      </c>
      <c r="N674" s="8">
        <v>0.4</v>
      </c>
      <c r="O674" t="s">
        <v>19</v>
      </c>
      <c r="P674" t="s">
        <v>45</v>
      </c>
      <c r="Q674" s="1" t="s">
        <v>21</v>
      </c>
    </row>
    <row r="675" spans="1:17" x14ac:dyDescent="0.35">
      <c r="A675" t="s">
        <v>1474</v>
      </c>
      <c r="B675" t="s">
        <v>1475</v>
      </c>
      <c r="C675" t="s">
        <v>64</v>
      </c>
      <c r="D675" t="s">
        <v>15</v>
      </c>
      <c r="E675" t="s">
        <v>32</v>
      </c>
      <c r="F675" t="s">
        <v>28</v>
      </c>
      <c r="G675" t="s">
        <v>18</v>
      </c>
      <c r="H675">
        <v>60</v>
      </c>
      <c r="I675" t="str">
        <f>IF(TBL[[#This Row],[Age]]&gt;=60, "Old", IF(TBL[[#This Row],[Age]]&gt;=30, "Adult", "Young"))</f>
        <v>Old</v>
      </c>
      <c r="J675" s="1">
        <v>39310</v>
      </c>
      <c r="K675">
        <f t="shared" si="10"/>
        <v>2007</v>
      </c>
      <c r="L675">
        <f>MONTH(TBL[[#This Row],[Hire Date]])</f>
        <v>8</v>
      </c>
      <c r="M675" s="7">
        <v>58671</v>
      </c>
      <c r="N675" s="8">
        <v>0</v>
      </c>
      <c r="O675" t="s">
        <v>19</v>
      </c>
      <c r="P675" t="s">
        <v>29</v>
      </c>
      <c r="Q675" s="1" t="s">
        <v>21</v>
      </c>
    </row>
    <row r="676" spans="1:17" x14ac:dyDescent="0.35">
      <c r="A676" t="s">
        <v>1476</v>
      </c>
      <c r="B676" t="s">
        <v>1477</v>
      </c>
      <c r="C676" t="s">
        <v>94</v>
      </c>
      <c r="D676" t="s">
        <v>50</v>
      </c>
      <c r="E676" t="s">
        <v>16</v>
      </c>
      <c r="F676" t="s">
        <v>17</v>
      </c>
      <c r="G676" t="s">
        <v>24</v>
      </c>
      <c r="H676">
        <v>40</v>
      </c>
      <c r="I676" t="str">
        <f>IF(TBL[[#This Row],[Age]]&gt;=60, "Old", IF(TBL[[#This Row],[Age]]&gt;=30, "Adult", "Young"))</f>
        <v>Adult</v>
      </c>
      <c r="J676" s="1">
        <v>43175</v>
      </c>
      <c r="K676">
        <f t="shared" si="10"/>
        <v>2018</v>
      </c>
      <c r="L676">
        <f>MONTH(TBL[[#This Row],[Hire Date]])</f>
        <v>3</v>
      </c>
      <c r="M676" s="7">
        <v>55457</v>
      </c>
      <c r="N676" s="8">
        <v>0</v>
      </c>
      <c r="O676" t="s">
        <v>19</v>
      </c>
      <c r="P676" t="s">
        <v>29</v>
      </c>
      <c r="Q676" s="1" t="s">
        <v>21</v>
      </c>
    </row>
    <row r="677" spans="1:17" x14ac:dyDescent="0.35">
      <c r="A677" t="s">
        <v>165</v>
      </c>
      <c r="B677" t="s">
        <v>1478</v>
      </c>
      <c r="C677" t="s">
        <v>94</v>
      </c>
      <c r="D677" t="s">
        <v>50</v>
      </c>
      <c r="E677" t="s">
        <v>36</v>
      </c>
      <c r="F677" t="s">
        <v>17</v>
      </c>
      <c r="G677" t="s">
        <v>24</v>
      </c>
      <c r="H677">
        <v>63</v>
      </c>
      <c r="I677" t="str">
        <f>IF(TBL[[#This Row],[Age]]&gt;=60, "Old", IF(TBL[[#This Row],[Age]]&gt;=30, "Adult", "Young"))</f>
        <v>Old</v>
      </c>
      <c r="J677" s="1">
        <v>43004</v>
      </c>
      <c r="K677">
        <f t="shared" si="10"/>
        <v>2017</v>
      </c>
      <c r="L677">
        <f>MONTH(TBL[[#This Row],[Hire Date]])</f>
        <v>9</v>
      </c>
      <c r="M677" s="7">
        <v>72340</v>
      </c>
      <c r="N677" s="8">
        <v>0</v>
      </c>
      <c r="O677" t="s">
        <v>19</v>
      </c>
      <c r="P677" t="s">
        <v>39</v>
      </c>
      <c r="Q677" s="1">
        <v>43558</v>
      </c>
    </row>
    <row r="678" spans="1:17" x14ac:dyDescent="0.35">
      <c r="A678" t="s">
        <v>1479</v>
      </c>
      <c r="B678" t="s">
        <v>1480</v>
      </c>
      <c r="C678" t="s">
        <v>62</v>
      </c>
      <c r="D678" t="s">
        <v>43</v>
      </c>
      <c r="E678" t="s">
        <v>32</v>
      </c>
      <c r="F678" t="s">
        <v>17</v>
      </c>
      <c r="G678" t="s">
        <v>18</v>
      </c>
      <c r="H678">
        <v>29</v>
      </c>
      <c r="I678" t="str">
        <f>IF(TBL[[#This Row],[Age]]&gt;=60, "Old", IF(TBL[[#This Row],[Age]]&gt;=30, "Adult", "Young"))</f>
        <v>Young</v>
      </c>
      <c r="J678" s="1">
        <v>42676</v>
      </c>
      <c r="K678">
        <f t="shared" si="10"/>
        <v>2016</v>
      </c>
      <c r="L678">
        <f>MONTH(TBL[[#This Row],[Hire Date]])</f>
        <v>11</v>
      </c>
      <c r="M678" s="7">
        <v>122054</v>
      </c>
      <c r="N678" s="8">
        <v>0.06</v>
      </c>
      <c r="O678" t="s">
        <v>19</v>
      </c>
      <c r="P678" t="s">
        <v>39</v>
      </c>
      <c r="Q678" s="1" t="s">
        <v>21</v>
      </c>
    </row>
    <row r="679" spans="1:17" x14ac:dyDescent="0.35">
      <c r="A679" t="s">
        <v>1481</v>
      </c>
      <c r="B679" t="s">
        <v>1482</v>
      </c>
      <c r="C679" t="s">
        <v>40</v>
      </c>
      <c r="D679" t="s">
        <v>27</v>
      </c>
      <c r="E679" t="s">
        <v>36</v>
      </c>
      <c r="F679" t="s">
        <v>17</v>
      </c>
      <c r="G679" t="s">
        <v>24</v>
      </c>
      <c r="H679">
        <v>27</v>
      </c>
      <c r="I679" t="str">
        <f>IF(TBL[[#This Row],[Age]]&gt;=60, "Old", IF(TBL[[#This Row],[Age]]&gt;=30, "Adult", "Young"))</f>
        <v>Young</v>
      </c>
      <c r="J679" s="1">
        <v>43103</v>
      </c>
      <c r="K679">
        <f t="shared" si="10"/>
        <v>2018</v>
      </c>
      <c r="L679">
        <f>MONTH(TBL[[#This Row],[Hire Date]])</f>
        <v>1</v>
      </c>
      <c r="M679" s="7">
        <v>167100</v>
      </c>
      <c r="N679" s="8">
        <v>0.2</v>
      </c>
      <c r="O679" t="s">
        <v>33</v>
      </c>
      <c r="P679" t="s">
        <v>34</v>
      </c>
      <c r="Q679" s="1" t="s">
        <v>21</v>
      </c>
    </row>
    <row r="680" spans="1:17" x14ac:dyDescent="0.35">
      <c r="A680" t="s">
        <v>1483</v>
      </c>
      <c r="B680" t="s">
        <v>1484</v>
      </c>
      <c r="C680" t="s">
        <v>55</v>
      </c>
      <c r="D680" t="s">
        <v>27</v>
      </c>
      <c r="E680" t="s">
        <v>32</v>
      </c>
      <c r="F680" t="s">
        <v>17</v>
      </c>
      <c r="G680" t="s">
        <v>18</v>
      </c>
      <c r="H680">
        <v>53</v>
      </c>
      <c r="I680" t="str">
        <f>IF(TBL[[#This Row],[Age]]&gt;=60, "Old", IF(TBL[[#This Row],[Age]]&gt;=30, "Adult", "Young"))</f>
        <v>Adult</v>
      </c>
      <c r="J680" s="1">
        <v>35543</v>
      </c>
      <c r="K680">
        <f t="shared" si="10"/>
        <v>1997</v>
      </c>
      <c r="L680">
        <f>MONTH(TBL[[#This Row],[Hire Date]])</f>
        <v>4</v>
      </c>
      <c r="M680" s="7">
        <v>78153</v>
      </c>
      <c r="N680" s="8">
        <v>0</v>
      </c>
      <c r="O680" t="s">
        <v>19</v>
      </c>
      <c r="P680" t="s">
        <v>45</v>
      </c>
      <c r="Q680" s="1" t="s">
        <v>21</v>
      </c>
    </row>
    <row r="681" spans="1:17" x14ac:dyDescent="0.35">
      <c r="A681" t="s">
        <v>1485</v>
      </c>
      <c r="B681" t="s">
        <v>1486</v>
      </c>
      <c r="C681" t="s">
        <v>62</v>
      </c>
      <c r="D681" t="s">
        <v>15</v>
      </c>
      <c r="E681" t="s">
        <v>36</v>
      </c>
      <c r="F681" t="s">
        <v>17</v>
      </c>
      <c r="G681" t="s">
        <v>18</v>
      </c>
      <c r="H681">
        <v>37</v>
      </c>
      <c r="I681" t="str">
        <f>IF(TBL[[#This Row],[Age]]&gt;=60, "Old", IF(TBL[[#This Row],[Age]]&gt;=30, "Adult", "Young"))</f>
        <v>Adult</v>
      </c>
      <c r="J681" s="1">
        <v>43935</v>
      </c>
      <c r="K681">
        <f t="shared" si="10"/>
        <v>2020</v>
      </c>
      <c r="L681">
        <f>MONTH(TBL[[#This Row],[Hire Date]])</f>
        <v>4</v>
      </c>
      <c r="M681" s="7">
        <v>103524</v>
      </c>
      <c r="N681" s="8">
        <v>0.09</v>
      </c>
      <c r="O681" t="s">
        <v>19</v>
      </c>
      <c r="P681" t="s">
        <v>39</v>
      </c>
      <c r="Q681" s="1" t="s">
        <v>21</v>
      </c>
    </row>
    <row r="682" spans="1:17" x14ac:dyDescent="0.35">
      <c r="A682" t="s">
        <v>1487</v>
      </c>
      <c r="B682" t="s">
        <v>1488</v>
      </c>
      <c r="C682" t="s">
        <v>62</v>
      </c>
      <c r="D682" t="s">
        <v>27</v>
      </c>
      <c r="E682" t="s">
        <v>32</v>
      </c>
      <c r="F682" t="s">
        <v>28</v>
      </c>
      <c r="G682" t="s">
        <v>18</v>
      </c>
      <c r="H682">
        <v>30</v>
      </c>
      <c r="I682" t="str">
        <f>IF(TBL[[#This Row],[Age]]&gt;=60, "Old", IF(TBL[[#This Row],[Age]]&gt;=30, "Adult", "Young"))</f>
        <v>Adult</v>
      </c>
      <c r="J682" s="1">
        <v>42952</v>
      </c>
      <c r="K682">
        <f t="shared" si="10"/>
        <v>2017</v>
      </c>
      <c r="L682">
        <f>MONTH(TBL[[#This Row],[Hire Date]])</f>
        <v>8</v>
      </c>
      <c r="M682" s="7">
        <v>119906</v>
      </c>
      <c r="N682" s="8">
        <v>0.05</v>
      </c>
      <c r="O682" t="s">
        <v>19</v>
      </c>
      <c r="P682" t="s">
        <v>29</v>
      </c>
      <c r="Q682" s="1" t="s">
        <v>21</v>
      </c>
    </row>
    <row r="683" spans="1:17" x14ac:dyDescent="0.35">
      <c r="A683" t="s">
        <v>1489</v>
      </c>
      <c r="B683" t="s">
        <v>356</v>
      </c>
      <c r="C683" t="s">
        <v>68</v>
      </c>
      <c r="D683" t="s">
        <v>43</v>
      </c>
      <c r="E683" t="s">
        <v>44</v>
      </c>
      <c r="F683" t="s">
        <v>17</v>
      </c>
      <c r="G683" t="s">
        <v>18</v>
      </c>
      <c r="H683">
        <v>28</v>
      </c>
      <c r="I683" t="str">
        <f>IF(TBL[[#This Row],[Age]]&gt;=60, "Old", IF(TBL[[#This Row],[Age]]&gt;=30, "Adult", "Young"))</f>
        <v>Young</v>
      </c>
      <c r="J683" s="1">
        <v>43847</v>
      </c>
      <c r="K683">
        <f t="shared" si="10"/>
        <v>2020</v>
      </c>
      <c r="L683">
        <f>MONTH(TBL[[#This Row],[Hire Date]])</f>
        <v>1</v>
      </c>
      <c r="M683" s="7">
        <v>45061</v>
      </c>
      <c r="N683" s="8">
        <v>0</v>
      </c>
      <c r="O683" t="s">
        <v>19</v>
      </c>
      <c r="P683" t="s">
        <v>45</v>
      </c>
      <c r="Q683" s="1" t="s">
        <v>21</v>
      </c>
    </row>
    <row r="684" spans="1:17" x14ac:dyDescent="0.35">
      <c r="A684" t="s">
        <v>120</v>
      </c>
      <c r="B684" t="s">
        <v>1490</v>
      </c>
      <c r="C684" t="s">
        <v>91</v>
      </c>
      <c r="D684" t="s">
        <v>27</v>
      </c>
      <c r="E684" t="s">
        <v>32</v>
      </c>
      <c r="F684" t="s">
        <v>28</v>
      </c>
      <c r="G684" t="s">
        <v>24</v>
      </c>
      <c r="H684">
        <v>51</v>
      </c>
      <c r="I684" t="str">
        <f>IF(TBL[[#This Row],[Age]]&gt;=60, "Old", IF(TBL[[#This Row],[Age]]&gt;=30, "Adult", "Young"))</f>
        <v>Adult</v>
      </c>
      <c r="J684" s="1">
        <v>37638</v>
      </c>
      <c r="K684">
        <f t="shared" si="10"/>
        <v>2003</v>
      </c>
      <c r="L684">
        <f>MONTH(TBL[[#This Row],[Hire Date]])</f>
        <v>1</v>
      </c>
      <c r="M684" s="7">
        <v>91399</v>
      </c>
      <c r="N684" s="8">
        <v>0</v>
      </c>
      <c r="O684" t="s">
        <v>19</v>
      </c>
      <c r="P684" t="s">
        <v>63</v>
      </c>
      <c r="Q684" s="1" t="s">
        <v>21</v>
      </c>
    </row>
    <row r="685" spans="1:17" x14ac:dyDescent="0.35">
      <c r="A685" t="s">
        <v>1491</v>
      </c>
      <c r="B685" t="s">
        <v>1492</v>
      </c>
      <c r="C685" t="s">
        <v>26</v>
      </c>
      <c r="D685" t="s">
        <v>27</v>
      </c>
      <c r="E685" t="s">
        <v>16</v>
      </c>
      <c r="F685" t="s">
        <v>28</v>
      </c>
      <c r="G685" t="s">
        <v>51</v>
      </c>
      <c r="H685">
        <v>28</v>
      </c>
      <c r="I685" t="str">
        <f>IF(TBL[[#This Row],[Age]]&gt;=60, "Old", IF(TBL[[#This Row],[Age]]&gt;=30, "Adult", "Young"))</f>
        <v>Young</v>
      </c>
      <c r="J685" s="1">
        <v>43006</v>
      </c>
      <c r="K685">
        <f t="shared" si="10"/>
        <v>2017</v>
      </c>
      <c r="L685">
        <f>MONTH(TBL[[#This Row],[Hire Date]])</f>
        <v>9</v>
      </c>
      <c r="M685" s="7">
        <v>97336</v>
      </c>
      <c r="N685" s="8">
        <v>0</v>
      </c>
      <c r="O685" t="s">
        <v>19</v>
      </c>
      <c r="P685" t="s">
        <v>25</v>
      </c>
      <c r="Q685" s="1" t="s">
        <v>21</v>
      </c>
    </row>
    <row r="686" spans="1:17" x14ac:dyDescent="0.35">
      <c r="A686" t="s">
        <v>121</v>
      </c>
      <c r="B686" t="s">
        <v>1493</v>
      </c>
      <c r="C686" t="s">
        <v>61</v>
      </c>
      <c r="D686" t="s">
        <v>65</v>
      </c>
      <c r="E686" t="s">
        <v>32</v>
      </c>
      <c r="F686" t="s">
        <v>17</v>
      </c>
      <c r="G686" t="s">
        <v>47</v>
      </c>
      <c r="H686">
        <v>31</v>
      </c>
      <c r="I686" t="str">
        <f>IF(TBL[[#This Row],[Age]]&gt;=60, "Old", IF(TBL[[#This Row],[Age]]&gt;=30, "Adult", "Young"))</f>
        <v>Adult</v>
      </c>
      <c r="J686" s="1">
        <v>42755</v>
      </c>
      <c r="K686">
        <f t="shared" si="10"/>
        <v>2017</v>
      </c>
      <c r="L686">
        <f>MONTH(TBL[[#This Row],[Hire Date]])</f>
        <v>1</v>
      </c>
      <c r="M686" s="7">
        <v>124629</v>
      </c>
      <c r="N686" s="8">
        <v>0.1</v>
      </c>
      <c r="O686" t="s">
        <v>19</v>
      </c>
      <c r="P686" t="s">
        <v>29</v>
      </c>
      <c r="Q686" s="1" t="s">
        <v>21</v>
      </c>
    </row>
    <row r="687" spans="1:17" x14ac:dyDescent="0.35">
      <c r="A687" t="s">
        <v>1494</v>
      </c>
      <c r="B687" t="s">
        <v>1495</v>
      </c>
      <c r="C687" t="s">
        <v>14</v>
      </c>
      <c r="D687" t="s">
        <v>23</v>
      </c>
      <c r="E687" t="s">
        <v>44</v>
      </c>
      <c r="F687" t="s">
        <v>17</v>
      </c>
      <c r="G687" t="s">
        <v>18</v>
      </c>
      <c r="H687">
        <v>28</v>
      </c>
      <c r="I687" t="str">
        <f>IF(TBL[[#This Row],[Age]]&gt;=60, "Old", IF(TBL[[#This Row],[Age]]&gt;=30, "Adult", "Young"))</f>
        <v>Young</v>
      </c>
      <c r="J687" s="1">
        <v>44402</v>
      </c>
      <c r="K687">
        <f t="shared" si="10"/>
        <v>2021</v>
      </c>
      <c r="L687">
        <f>MONTH(TBL[[#This Row],[Hire Date]])</f>
        <v>7</v>
      </c>
      <c r="M687" s="7">
        <v>231850</v>
      </c>
      <c r="N687" s="8">
        <v>0.39</v>
      </c>
      <c r="O687" t="s">
        <v>19</v>
      </c>
      <c r="P687" t="s">
        <v>45</v>
      </c>
      <c r="Q687" s="1" t="s">
        <v>21</v>
      </c>
    </row>
    <row r="688" spans="1:17" x14ac:dyDescent="0.35">
      <c r="A688" t="s">
        <v>1496</v>
      </c>
      <c r="B688" t="s">
        <v>1497</v>
      </c>
      <c r="C688" t="s">
        <v>62</v>
      </c>
      <c r="D688" t="s">
        <v>65</v>
      </c>
      <c r="E688" t="s">
        <v>16</v>
      </c>
      <c r="F688" t="s">
        <v>28</v>
      </c>
      <c r="G688" t="s">
        <v>51</v>
      </c>
      <c r="H688">
        <v>34</v>
      </c>
      <c r="I688" t="str">
        <f>IF(TBL[[#This Row],[Age]]&gt;=60, "Old", IF(TBL[[#This Row],[Age]]&gt;=30, "Adult", "Young"))</f>
        <v>Adult</v>
      </c>
      <c r="J688" s="1">
        <v>43255</v>
      </c>
      <c r="K688">
        <f t="shared" si="10"/>
        <v>2018</v>
      </c>
      <c r="L688">
        <f>MONTH(TBL[[#This Row],[Hire Date]])</f>
        <v>6</v>
      </c>
      <c r="M688" s="7">
        <v>128329</v>
      </c>
      <c r="N688" s="8">
        <v>0.08</v>
      </c>
      <c r="O688" t="s">
        <v>19</v>
      </c>
      <c r="P688" t="s">
        <v>39</v>
      </c>
      <c r="Q688" s="1" t="s">
        <v>21</v>
      </c>
    </row>
    <row r="689" spans="1:17" x14ac:dyDescent="0.35">
      <c r="A689" t="s">
        <v>1498</v>
      </c>
      <c r="B689" t="s">
        <v>1499</v>
      </c>
      <c r="C689" t="s">
        <v>14</v>
      </c>
      <c r="D689" t="s">
        <v>43</v>
      </c>
      <c r="E689" t="s">
        <v>44</v>
      </c>
      <c r="F689" t="s">
        <v>28</v>
      </c>
      <c r="G689" t="s">
        <v>51</v>
      </c>
      <c r="H689">
        <v>44</v>
      </c>
      <c r="I689" t="str">
        <f>IF(TBL[[#This Row],[Age]]&gt;=60, "Old", IF(TBL[[#This Row],[Age]]&gt;=30, "Adult", "Young"))</f>
        <v>Adult</v>
      </c>
      <c r="J689" s="1">
        <v>44283</v>
      </c>
      <c r="K689">
        <f t="shared" si="10"/>
        <v>2021</v>
      </c>
      <c r="L689">
        <f>MONTH(TBL[[#This Row],[Hire Date]])</f>
        <v>3</v>
      </c>
      <c r="M689" s="7">
        <v>186033</v>
      </c>
      <c r="N689" s="8">
        <v>0.34</v>
      </c>
      <c r="O689" t="s">
        <v>52</v>
      </c>
      <c r="P689" t="s">
        <v>53</v>
      </c>
      <c r="Q689" s="1" t="s">
        <v>21</v>
      </c>
    </row>
    <row r="690" spans="1:17" x14ac:dyDescent="0.35">
      <c r="A690" t="s">
        <v>1500</v>
      </c>
      <c r="B690" t="s">
        <v>1501</v>
      </c>
      <c r="C690" t="s">
        <v>61</v>
      </c>
      <c r="D690" t="s">
        <v>43</v>
      </c>
      <c r="E690" t="s">
        <v>36</v>
      </c>
      <c r="F690" t="s">
        <v>28</v>
      </c>
      <c r="G690" t="s">
        <v>24</v>
      </c>
      <c r="H690">
        <v>60</v>
      </c>
      <c r="I690" t="str">
        <f>IF(TBL[[#This Row],[Age]]&gt;=60, "Old", IF(TBL[[#This Row],[Age]]&gt;=30, "Adult", "Young"))</f>
        <v>Old</v>
      </c>
      <c r="J690" s="1">
        <v>44403</v>
      </c>
      <c r="K690">
        <f t="shared" si="10"/>
        <v>2021</v>
      </c>
      <c r="L690">
        <f>MONTH(TBL[[#This Row],[Hire Date]])</f>
        <v>7</v>
      </c>
      <c r="M690" s="7">
        <v>121480</v>
      </c>
      <c r="N690" s="8">
        <v>0.14000000000000001</v>
      </c>
      <c r="O690" t="s">
        <v>19</v>
      </c>
      <c r="P690" t="s">
        <v>39</v>
      </c>
      <c r="Q690" s="1" t="s">
        <v>21</v>
      </c>
    </row>
    <row r="691" spans="1:17" x14ac:dyDescent="0.35">
      <c r="A691" t="s">
        <v>243</v>
      </c>
      <c r="B691" t="s">
        <v>1502</v>
      </c>
      <c r="C691" t="s">
        <v>40</v>
      </c>
      <c r="D691" t="s">
        <v>23</v>
      </c>
      <c r="E691" t="s">
        <v>44</v>
      </c>
      <c r="F691" t="s">
        <v>17</v>
      </c>
      <c r="G691" t="s">
        <v>18</v>
      </c>
      <c r="H691">
        <v>41</v>
      </c>
      <c r="I691" t="str">
        <f>IF(TBL[[#This Row],[Age]]&gt;=60, "Old", IF(TBL[[#This Row],[Age]]&gt;=30, "Adult", "Young"))</f>
        <v>Adult</v>
      </c>
      <c r="J691" s="1">
        <v>40319</v>
      </c>
      <c r="K691">
        <f t="shared" si="10"/>
        <v>2010</v>
      </c>
      <c r="L691">
        <f>MONTH(TBL[[#This Row],[Hire Date]])</f>
        <v>5</v>
      </c>
      <c r="M691" s="7">
        <v>153275</v>
      </c>
      <c r="N691" s="8">
        <v>0.24</v>
      </c>
      <c r="O691" t="s">
        <v>19</v>
      </c>
      <c r="P691" t="s">
        <v>29</v>
      </c>
      <c r="Q691" s="1" t="s">
        <v>21</v>
      </c>
    </row>
    <row r="692" spans="1:17" x14ac:dyDescent="0.35">
      <c r="A692" t="s">
        <v>1503</v>
      </c>
      <c r="B692" t="s">
        <v>191</v>
      </c>
      <c r="C692" t="s">
        <v>42</v>
      </c>
      <c r="D692" t="s">
        <v>50</v>
      </c>
      <c r="E692" t="s">
        <v>16</v>
      </c>
      <c r="F692" t="s">
        <v>17</v>
      </c>
      <c r="G692" t="s">
        <v>24</v>
      </c>
      <c r="H692">
        <v>62</v>
      </c>
      <c r="I692" t="str">
        <f>IF(TBL[[#This Row],[Age]]&gt;=60, "Old", IF(TBL[[#This Row],[Age]]&gt;=30, "Adult", "Young"))</f>
        <v>Old</v>
      </c>
      <c r="J692" s="1">
        <v>43969</v>
      </c>
      <c r="K692">
        <f t="shared" si="10"/>
        <v>2020</v>
      </c>
      <c r="L692">
        <f>MONTH(TBL[[#This Row],[Hire Date]])</f>
        <v>5</v>
      </c>
      <c r="M692" s="7">
        <v>97830</v>
      </c>
      <c r="N692" s="8">
        <v>0</v>
      </c>
      <c r="O692" t="s">
        <v>19</v>
      </c>
      <c r="P692" t="s">
        <v>25</v>
      </c>
      <c r="Q692" s="1" t="s">
        <v>21</v>
      </c>
    </row>
    <row r="693" spans="1:17" x14ac:dyDescent="0.35">
      <c r="A693" t="s">
        <v>396</v>
      </c>
      <c r="B693" t="s">
        <v>1504</v>
      </c>
      <c r="C693" t="s">
        <v>14</v>
      </c>
      <c r="D693" t="s">
        <v>43</v>
      </c>
      <c r="E693" t="s">
        <v>32</v>
      </c>
      <c r="F693" t="s">
        <v>17</v>
      </c>
      <c r="G693" t="s">
        <v>51</v>
      </c>
      <c r="H693">
        <v>47</v>
      </c>
      <c r="I693" t="str">
        <f>IF(TBL[[#This Row],[Age]]&gt;=60, "Old", IF(TBL[[#This Row],[Age]]&gt;=30, "Adult", "Young"))</f>
        <v>Adult</v>
      </c>
      <c r="J693" s="1">
        <v>36232</v>
      </c>
      <c r="K693">
        <f t="shared" si="10"/>
        <v>1999</v>
      </c>
      <c r="L693">
        <f>MONTH(TBL[[#This Row],[Hire Date]])</f>
        <v>3</v>
      </c>
      <c r="M693" s="7">
        <v>239394</v>
      </c>
      <c r="N693" s="8">
        <v>0.32</v>
      </c>
      <c r="O693" t="s">
        <v>19</v>
      </c>
      <c r="P693" t="s">
        <v>25</v>
      </c>
      <c r="Q693" s="1" t="s">
        <v>21</v>
      </c>
    </row>
    <row r="694" spans="1:17" x14ac:dyDescent="0.35">
      <c r="A694" t="s">
        <v>381</v>
      </c>
      <c r="B694" t="s">
        <v>1505</v>
      </c>
      <c r="C694" t="s">
        <v>68</v>
      </c>
      <c r="D694" t="s">
        <v>15</v>
      </c>
      <c r="E694" t="s">
        <v>44</v>
      </c>
      <c r="F694" t="s">
        <v>17</v>
      </c>
      <c r="G694" t="s">
        <v>24</v>
      </c>
      <c r="H694">
        <v>62</v>
      </c>
      <c r="I694" t="str">
        <f>IF(TBL[[#This Row],[Age]]&gt;=60, "Old", IF(TBL[[#This Row],[Age]]&gt;=30, "Adult", "Young"))</f>
        <v>Old</v>
      </c>
      <c r="J694" s="1">
        <v>37519</v>
      </c>
      <c r="K694">
        <f t="shared" si="10"/>
        <v>2002</v>
      </c>
      <c r="L694">
        <f>MONTH(TBL[[#This Row],[Hire Date]])</f>
        <v>9</v>
      </c>
      <c r="M694" s="7">
        <v>49738</v>
      </c>
      <c r="N694" s="8">
        <v>0</v>
      </c>
      <c r="O694" t="s">
        <v>33</v>
      </c>
      <c r="P694" t="s">
        <v>60</v>
      </c>
      <c r="Q694" s="1" t="s">
        <v>21</v>
      </c>
    </row>
    <row r="695" spans="1:17" x14ac:dyDescent="0.35">
      <c r="A695" t="s">
        <v>1506</v>
      </c>
      <c r="B695" t="s">
        <v>1507</v>
      </c>
      <c r="C695" t="s">
        <v>68</v>
      </c>
      <c r="D695" t="s">
        <v>65</v>
      </c>
      <c r="E695" t="s">
        <v>36</v>
      </c>
      <c r="F695" t="s">
        <v>17</v>
      </c>
      <c r="G695" t="s">
        <v>51</v>
      </c>
      <c r="H695">
        <v>33</v>
      </c>
      <c r="I695" t="str">
        <f>IF(TBL[[#This Row],[Age]]&gt;=60, "Old", IF(TBL[[#This Row],[Age]]&gt;=30, "Adult", "Young"))</f>
        <v>Adult</v>
      </c>
      <c r="J695" s="1">
        <v>43247</v>
      </c>
      <c r="K695">
        <f t="shared" si="10"/>
        <v>2018</v>
      </c>
      <c r="L695">
        <f>MONTH(TBL[[#This Row],[Hire Date]])</f>
        <v>5</v>
      </c>
      <c r="M695" s="7">
        <v>45049</v>
      </c>
      <c r="N695" s="8">
        <v>0</v>
      </c>
      <c r="O695" t="s">
        <v>19</v>
      </c>
      <c r="P695" t="s">
        <v>63</v>
      </c>
      <c r="Q695" s="1" t="s">
        <v>21</v>
      </c>
    </row>
    <row r="696" spans="1:17" x14ac:dyDescent="0.35">
      <c r="A696" t="s">
        <v>1508</v>
      </c>
      <c r="B696" t="s">
        <v>1509</v>
      </c>
      <c r="C696" t="s">
        <v>40</v>
      </c>
      <c r="D696" t="s">
        <v>15</v>
      </c>
      <c r="E696" t="s">
        <v>16</v>
      </c>
      <c r="F696" t="s">
        <v>17</v>
      </c>
      <c r="G696" t="s">
        <v>24</v>
      </c>
      <c r="H696">
        <v>27</v>
      </c>
      <c r="I696" t="str">
        <f>IF(TBL[[#This Row],[Age]]&gt;=60, "Old", IF(TBL[[#This Row],[Age]]&gt;=30, "Adult", "Young"))</f>
        <v>Young</v>
      </c>
      <c r="J696" s="1">
        <v>43977</v>
      </c>
      <c r="K696">
        <f t="shared" si="10"/>
        <v>2020</v>
      </c>
      <c r="L696">
        <f>MONTH(TBL[[#This Row],[Hire Date]])</f>
        <v>5</v>
      </c>
      <c r="M696" s="7">
        <v>153628</v>
      </c>
      <c r="N696" s="8">
        <v>0.28999999999999998</v>
      </c>
      <c r="O696" t="s">
        <v>33</v>
      </c>
      <c r="P696" t="s">
        <v>80</v>
      </c>
      <c r="Q696" s="1">
        <v>44177</v>
      </c>
    </row>
    <row r="697" spans="1:17" x14ac:dyDescent="0.35">
      <c r="A697" t="s">
        <v>116</v>
      </c>
      <c r="B697" t="s">
        <v>1510</v>
      </c>
      <c r="C697" t="s">
        <v>61</v>
      </c>
      <c r="D697" t="s">
        <v>50</v>
      </c>
      <c r="E697" t="s">
        <v>36</v>
      </c>
      <c r="F697" t="s">
        <v>28</v>
      </c>
      <c r="G697" t="s">
        <v>24</v>
      </c>
      <c r="H697">
        <v>25</v>
      </c>
      <c r="I697" t="str">
        <f>IF(TBL[[#This Row],[Age]]&gt;=60, "Old", IF(TBL[[#This Row],[Age]]&gt;=30, "Adult", "Young"))</f>
        <v>Young</v>
      </c>
      <c r="J697" s="1">
        <v>44362</v>
      </c>
      <c r="K697">
        <f t="shared" si="10"/>
        <v>2021</v>
      </c>
      <c r="L697">
        <f>MONTH(TBL[[#This Row],[Hire Date]])</f>
        <v>6</v>
      </c>
      <c r="M697" s="7">
        <v>142731</v>
      </c>
      <c r="N697" s="8">
        <v>0.11</v>
      </c>
      <c r="O697" t="s">
        <v>33</v>
      </c>
      <c r="P697" t="s">
        <v>74</v>
      </c>
      <c r="Q697" s="1">
        <v>44715</v>
      </c>
    </row>
    <row r="698" spans="1:17" x14ac:dyDescent="0.35">
      <c r="A698" t="s">
        <v>126</v>
      </c>
      <c r="B698" t="s">
        <v>1511</v>
      </c>
      <c r="C698" t="s">
        <v>61</v>
      </c>
      <c r="D698" t="s">
        <v>43</v>
      </c>
      <c r="E698" t="s">
        <v>44</v>
      </c>
      <c r="F698" t="s">
        <v>17</v>
      </c>
      <c r="G698" t="s">
        <v>51</v>
      </c>
      <c r="H698">
        <v>29</v>
      </c>
      <c r="I698" t="str">
        <f>IF(TBL[[#This Row],[Age]]&gt;=60, "Old", IF(TBL[[#This Row],[Age]]&gt;=30, "Adult", "Young"))</f>
        <v>Young</v>
      </c>
      <c r="J698" s="1">
        <v>43966</v>
      </c>
      <c r="K698">
        <f t="shared" si="10"/>
        <v>2020</v>
      </c>
      <c r="L698">
        <f>MONTH(TBL[[#This Row],[Hire Date]])</f>
        <v>5</v>
      </c>
      <c r="M698" s="7">
        <v>137106</v>
      </c>
      <c r="N698" s="8">
        <v>0.12</v>
      </c>
      <c r="O698" t="s">
        <v>52</v>
      </c>
      <c r="P698" t="s">
        <v>53</v>
      </c>
      <c r="Q698" s="1" t="s">
        <v>21</v>
      </c>
    </row>
    <row r="699" spans="1:17" x14ac:dyDescent="0.35">
      <c r="A699" t="s">
        <v>555</v>
      </c>
      <c r="B699" t="s">
        <v>1512</v>
      </c>
      <c r="C699" t="s">
        <v>14</v>
      </c>
      <c r="D699" t="s">
        <v>15</v>
      </c>
      <c r="E699" t="s">
        <v>32</v>
      </c>
      <c r="F699" t="s">
        <v>17</v>
      </c>
      <c r="G699" t="s">
        <v>24</v>
      </c>
      <c r="H699">
        <v>54</v>
      </c>
      <c r="I699" t="str">
        <f>IF(TBL[[#This Row],[Age]]&gt;=60, "Old", IF(TBL[[#This Row],[Age]]&gt;=30, "Adult", "Young"))</f>
        <v>Adult</v>
      </c>
      <c r="J699" s="1">
        <v>39330</v>
      </c>
      <c r="K699">
        <f t="shared" si="10"/>
        <v>2007</v>
      </c>
      <c r="L699">
        <f>MONTH(TBL[[#This Row],[Hire Date]])</f>
        <v>9</v>
      </c>
      <c r="M699" s="7">
        <v>183239</v>
      </c>
      <c r="N699" s="8">
        <v>0.32</v>
      </c>
      <c r="O699" t="s">
        <v>19</v>
      </c>
      <c r="P699" t="s">
        <v>63</v>
      </c>
      <c r="Q699" s="1" t="s">
        <v>21</v>
      </c>
    </row>
    <row r="700" spans="1:17" x14ac:dyDescent="0.35">
      <c r="A700" t="s">
        <v>1173</v>
      </c>
      <c r="B700" t="s">
        <v>1513</v>
      </c>
      <c r="C700" t="s">
        <v>68</v>
      </c>
      <c r="D700" t="s">
        <v>65</v>
      </c>
      <c r="E700" t="s">
        <v>36</v>
      </c>
      <c r="F700" t="s">
        <v>17</v>
      </c>
      <c r="G700" t="s">
        <v>18</v>
      </c>
      <c r="H700">
        <v>28</v>
      </c>
      <c r="I700" t="str">
        <f>IF(TBL[[#This Row],[Age]]&gt;=60, "Old", IF(TBL[[#This Row],[Age]]&gt;=30, "Adult", "Young"))</f>
        <v>Young</v>
      </c>
      <c r="J700" s="1">
        <v>43610</v>
      </c>
      <c r="K700">
        <f t="shared" si="10"/>
        <v>2019</v>
      </c>
      <c r="L700">
        <f>MONTH(TBL[[#This Row],[Hire Date]])</f>
        <v>5</v>
      </c>
      <c r="M700" s="7">
        <v>45819</v>
      </c>
      <c r="N700" s="8">
        <v>0</v>
      </c>
      <c r="O700" t="s">
        <v>19</v>
      </c>
      <c r="P700" t="s">
        <v>45</v>
      </c>
      <c r="Q700" s="1" t="s">
        <v>21</v>
      </c>
    </row>
    <row r="701" spans="1:17" x14ac:dyDescent="0.35">
      <c r="A701" t="s">
        <v>1514</v>
      </c>
      <c r="B701" t="s">
        <v>1515</v>
      </c>
      <c r="C701" t="s">
        <v>68</v>
      </c>
      <c r="D701" t="s">
        <v>65</v>
      </c>
      <c r="E701" t="s">
        <v>16</v>
      </c>
      <c r="F701" t="s">
        <v>17</v>
      </c>
      <c r="G701" t="s">
        <v>24</v>
      </c>
      <c r="H701">
        <v>54</v>
      </c>
      <c r="I701" t="str">
        <f>IF(TBL[[#This Row],[Age]]&gt;=60, "Old", IF(TBL[[#This Row],[Age]]&gt;=30, "Adult", "Young"))</f>
        <v>Adult</v>
      </c>
      <c r="J701" s="1">
        <v>39080</v>
      </c>
      <c r="K701">
        <f t="shared" si="10"/>
        <v>2006</v>
      </c>
      <c r="L701">
        <f>MONTH(TBL[[#This Row],[Hire Date]])</f>
        <v>12</v>
      </c>
      <c r="M701" s="7">
        <v>55518</v>
      </c>
      <c r="N701" s="8">
        <v>0</v>
      </c>
      <c r="O701" t="s">
        <v>19</v>
      </c>
      <c r="P701" t="s">
        <v>29</v>
      </c>
      <c r="Q701" s="1" t="s">
        <v>21</v>
      </c>
    </row>
    <row r="702" spans="1:17" x14ac:dyDescent="0.35">
      <c r="A702" t="s">
        <v>1516</v>
      </c>
      <c r="B702" t="s">
        <v>1517</v>
      </c>
      <c r="C702" t="s">
        <v>62</v>
      </c>
      <c r="D702" t="s">
        <v>43</v>
      </c>
      <c r="E702" t="s">
        <v>36</v>
      </c>
      <c r="F702" t="s">
        <v>17</v>
      </c>
      <c r="G702" t="s">
        <v>24</v>
      </c>
      <c r="H702">
        <v>50</v>
      </c>
      <c r="I702" t="str">
        <f>IF(TBL[[#This Row],[Age]]&gt;=60, "Old", IF(TBL[[#This Row],[Age]]&gt;=30, "Adult", "Young"))</f>
        <v>Adult</v>
      </c>
      <c r="J702" s="1">
        <v>40979</v>
      </c>
      <c r="K702">
        <f t="shared" si="10"/>
        <v>2012</v>
      </c>
      <c r="L702">
        <f>MONTH(TBL[[#This Row],[Hire Date]])</f>
        <v>3</v>
      </c>
      <c r="M702" s="7">
        <v>108134</v>
      </c>
      <c r="N702" s="8">
        <v>0.1</v>
      </c>
      <c r="O702" t="s">
        <v>33</v>
      </c>
      <c r="P702" t="s">
        <v>74</v>
      </c>
      <c r="Q702" s="1" t="s">
        <v>21</v>
      </c>
    </row>
    <row r="703" spans="1:17" x14ac:dyDescent="0.35">
      <c r="A703" t="s">
        <v>1518</v>
      </c>
      <c r="B703" t="s">
        <v>262</v>
      </c>
      <c r="C703" t="s">
        <v>62</v>
      </c>
      <c r="D703" t="s">
        <v>43</v>
      </c>
      <c r="E703" t="s">
        <v>16</v>
      </c>
      <c r="F703" t="s">
        <v>17</v>
      </c>
      <c r="G703" t="s">
        <v>47</v>
      </c>
      <c r="H703">
        <v>55</v>
      </c>
      <c r="I703" t="str">
        <f>IF(TBL[[#This Row],[Age]]&gt;=60, "Old", IF(TBL[[#This Row],[Age]]&gt;=30, "Adult", "Young"))</f>
        <v>Adult</v>
      </c>
      <c r="J703" s="1">
        <v>33958</v>
      </c>
      <c r="K703">
        <f t="shared" si="10"/>
        <v>1992</v>
      </c>
      <c r="L703">
        <f>MONTH(TBL[[#This Row],[Hire Date]])</f>
        <v>12</v>
      </c>
      <c r="M703" s="7">
        <v>113950</v>
      </c>
      <c r="N703" s="8">
        <v>0.09</v>
      </c>
      <c r="O703" t="s">
        <v>19</v>
      </c>
      <c r="P703" t="s">
        <v>45</v>
      </c>
      <c r="Q703" s="1" t="s">
        <v>21</v>
      </c>
    </row>
    <row r="704" spans="1:17" x14ac:dyDescent="0.35">
      <c r="A704" t="s">
        <v>1213</v>
      </c>
      <c r="B704" t="s">
        <v>1519</v>
      </c>
      <c r="C704" t="s">
        <v>14</v>
      </c>
      <c r="D704" t="s">
        <v>43</v>
      </c>
      <c r="E704" t="s">
        <v>44</v>
      </c>
      <c r="F704" t="s">
        <v>17</v>
      </c>
      <c r="G704" t="s">
        <v>24</v>
      </c>
      <c r="H704">
        <v>52</v>
      </c>
      <c r="I704" t="str">
        <f>IF(TBL[[#This Row],[Age]]&gt;=60, "Old", IF(TBL[[#This Row],[Age]]&gt;=30, "Adult", "Young"))</f>
        <v>Adult</v>
      </c>
      <c r="J704" s="1">
        <v>35886</v>
      </c>
      <c r="K704">
        <f t="shared" si="10"/>
        <v>1998</v>
      </c>
      <c r="L704">
        <f>MONTH(TBL[[#This Row],[Hire Date]])</f>
        <v>4</v>
      </c>
      <c r="M704" s="7">
        <v>182035</v>
      </c>
      <c r="N704" s="8">
        <v>0.3</v>
      </c>
      <c r="O704" t="s">
        <v>19</v>
      </c>
      <c r="P704" t="s">
        <v>20</v>
      </c>
      <c r="Q704" s="1" t="s">
        <v>21</v>
      </c>
    </row>
    <row r="705" spans="1:17" x14ac:dyDescent="0.35">
      <c r="A705" t="s">
        <v>519</v>
      </c>
      <c r="B705" t="s">
        <v>1520</v>
      </c>
      <c r="C705" t="s">
        <v>40</v>
      </c>
      <c r="D705" t="s">
        <v>65</v>
      </c>
      <c r="E705" t="s">
        <v>44</v>
      </c>
      <c r="F705" t="s">
        <v>28</v>
      </c>
      <c r="G705" t="s">
        <v>24</v>
      </c>
      <c r="H705">
        <v>35</v>
      </c>
      <c r="I705" t="str">
        <f>IF(TBL[[#This Row],[Age]]&gt;=60, "Old", IF(TBL[[#This Row],[Age]]&gt;=30, "Adult", "Young"))</f>
        <v>Adult</v>
      </c>
      <c r="J705" s="1">
        <v>42963</v>
      </c>
      <c r="K705">
        <f t="shared" si="10"/>
        <v>2017</v>
      </c>
      <c r="L705">
        <f>MONTH(TBL[[#This Row],[Hire Date]])</f>
        <v>8</v>
      </c>
      <c r="M705" s="7">
        <v>181356</v>
      </c>
      <c r="N705" s="8">
        <v>0.23</v>
      </c>
      <c r="O705" t="s">
        <v>33</v>
      </c>
      <c r="P705" t="s">
        <v>60</v>
      </c>
      <c r="Q705" s="1" t="s">
        <v>21</v>
      </c>
    </row>
    <row r="706" spans="1:17" x14ac:dyDescent="0.35">
      <c r="A706" t="s">
        <v>1521</v>
      </c>
      <c r="B706" t="s">
        <v>1522</v>
      </c>
      <c r="C706" t="s">
        <v>94</v>
      </c>
      <c r="D706" t="s">
        <v>50</v>
      </c>
      <c r="E706" t="s">
        <v>32</v>
      </c>
      <c r="F706" t="s">
        <v>17</v>
      </c>
      <c r="G706" t="s">
        <v>47</v>
      </c>
      <c r="H706">
        <v>26</v>
      </c>
      <c r="I706" t="str">
        <f>IF(TBL[[#This Row],[Age]]&gt;=60, "Old", IF(TBL[[#This Row],[Age]]&gt;=30, "Adult", "Young"))</f>
        <v>Young</v>
      </c>
      <c r="J706" s="1">
        <v>43698</v>
      </c>
      <c r="K706">
        <f t="shared" ref="K706:K769" si="11">YEAR(--J706)</f>
        <v>2019</v>
      </c>
      <c r="L706">
        <f>MONTH(TBL[[#This Row],[Hire Date]])</f>
        <v>8</v>
      </c>
      <c r="M706" s="7">
        <v>66084</v>
      </c>
      <c r="N706" s="8">
        <v>0</v>
      </c>
      <c r="O706" t="s">
        <v>19</v>
      </c>
      <c r="P706" t="s">
        <v>63</v>
      </c>
      <c r="Q706" s="1" t="s">
        <v>21</v>
      </c>
    </row>
    <row r="707" spans="1:17" x14ac:dyDescent="0.35">
      <c r="A707" t="s">
        <v>1523</v>
      </c>
      <c r="B707" t="s">
        <v>306</v>
      </c>
      <c r="C707" t="s">
        <v>88</v>
      </c>
      <c r="D707" t="s">
        <v>27</v>
      </c>
      <c r="E707" t="s">
        <v>44</v>
      </c>
      <c r="F707" t="s">
        <v>17</v>
      </c>
      <c r="G707" t="s">
        <v>51</v>
      </c>
      <c r="H707">
        <v>43</v>
      </c>
      <c r="I707" t="str">
        <f>IF(TBL[[#This Row],[Age]]&gt;=60, "Old", IF(TBL[[#This Row],[Age]]&gt;=30, "Adult", "Young"))</f>
        <v>Adult</v>
      </c>
      <c r="J707" s="1">
        <v>40290</v>
      </c>
      <c r="K707">
        <f t="shared" si="11"/>
        <v>2010</v>
      </c>
      <c r="L707">
        <f>MONTH(TBL[[#This Row],[Hire Date]])</f>
        <v>4</v>
      </c>
      <c r="M707" s="7">
        <v>76912</v>
      </c>
      <c r="N707" s="8">
        <v>0</v>
      </c>
      <c r="O707" t="s">
        <v>52</v>
      </c>
      <c r="P707" t="s">
        <v>53</v>
      </c>
      <c r="Q707" s="1" t="s">
        <v>21</v>
      </c>
    </row>
    <row r="708" spans="1:17" x14ac:dyDescent="0.35">
      <c r="A708" t="s">
        <v>343</v>
      </c>
      <c r="B708" t="s">
        <v>1524</v>
      </c>
      <c r="C708" t="s">
        <v>58</v>
      </c>
      <c r="D708" t="s">
        <v>31</v>
      </c>
      <c r="E708" t="s">
        <v>16</v>
      </c>
      <c r="F708" t="s">
        <v>17</v>
      </c>
      <c r="G708" t="s">
        <v>24</v>
      </c>
      <c r="H708">
        <v>63</v>
      </c>
      <c r="I708" t="str">
        <f>IF(TBL[[#This Row],[Age]]&gt;=60, "Old", IF(TBL[[#This Row],[Age]]&gt;=30, "Adult", "Young"))</f>
        <v>Old</v>
      </c>
      <c r="J708" s="1">
        <v>43227</v>
      </c>
      <c r="K708">
        <f t="shared" si="11"/>
        <v>2018</v>
      </c>
      <c r="L708">
        <f>MONTH(TBL[[#This Row],[Hire Date]])</f>
        <v>5</v>
      </c>
      <c r="M708" s="7">
        <v>67987</v>
      </c>
      <c r="N708" s="8">
        <v>0</v>
      </c>
      <c r="O708" t="s">
        <v>19</v>
      </c>
      <c r="P708" t="s">
        <v>45</v>
      </c>
      <c r="Q708" s="1" t="s">
        <v>21</v>
      </c>
    </row>
    <row r="709" spans="1:17" x14ac:dyDescent="0.35">
      <c r="A709" t="s">
        <v>1525</v>
      </c>
      <c r="B709" t="s">
        <v>1526</v>
      </c>
      <c r="C709" t="s">
        <v>64</v>
      </c>
      <c r="D709" t="s">
        <v>43</v>
      </c>
      <c r="E709" t="s">
        <v>36</v>
      </c>
      <c r="F709" t="s">
        <v>28</v>
      </c>
      <c r="G709" t="s">
        <v>18</v>
      </c>
      <c r="H709">
        <v>65</v>
      </c>
      <c r="I709" t="str">
        <f>IF(TBL[[#This Row],[Age]]&gt;=60, "Old", IF(TBL[[#This Row],[Age]]&gt;=30, "Adult", "Young"))</f>
        <v>Old</v>
      </c>
      <c r="J709" s="1">
        <v>38584</v>
      </c>
      <c r="K709">
        <f t="shared" si="11"/>
        <v>2005</v>
      </c>
      <c r="L709">
        <f>MONTH(TBL[[#This Row],[Hire Date]])</f>
        <v>8</v>
      </c>
      <c r="M709" s="7">
        <v>59833</v>
      </c>
      <c r="N709" s="8">
        <v>0</v>
      </c>
      <c r="O709" t="s">
        <v>19</v>
      </c>
      <c r="P709" t="s">
        <v>29</v>
      </c>
      <c r="Q709" s="1" t="s">
        <v>21</v>
      </c>
    </row>
    <row r="710" spans="1:17" x14ac:dyDescent="0.35">
      <c r="A710" t="s">
        <v>1527</v>
      </c>
      <c r="B710" t="s">
        <v>1528</v>
      </c>
      <c r="C710" t="s">
        <v>61</v>
      </c>
      <c r="D710" t="s">
        <v>43</v>
      </c>
      <c r="E710" t="s">
        <v>44</v>
      </c>
      <c r="F710" t="s">
        <v>28</v>
      </c>
      <c r="G710" t="s">
        <v>24</v>
      </c>
      <c r="H710">
        <v>45</v>
      </c>
      <c r="I710" t="str">
        <f>IF(TBL[[#This Row],[Age]]&gt;=60, "Old", IF(TBL[[#This Row],[Age]]&gt;=30, "Adult", "Young"))</f>
        <v>Adult</v>
      </c>
      <c r="J710" s="1">
        <v>38453</v>
      </c>
      <c r="K710">
        <f t="shared" si="11"/>
        <v>2005</v>
      </c>
      <c r="L710">
        <f>MONTH(TBL[[#This Row],[Hire Date]])</f>
        <v>4</v>
      </c>
      <c r="M710" s="7">
        <v>128468</v>
      </c>
      <c r="N710" s="8">
        <v>0.11</v>
      </c>
      <c r="O710" t="s">
        <v>19</v>
      </c>
      <c r="P710" t="s">
        <v>20</v>
      </c>
      <c r="Q710" s="1" t="s">
        <v>21</v>
      </c>
    </row>
    <row r="711" spans="1:17" x14ac:dyDescent="0.35">
      <c r="A711" t="s">
        <v>826</v>
      </c>
      <c r="B711" t="s">
        <v>1529</v>
      </c>
      <c r="C711" t="s">
        <v>62</v>
      </c>
      <c r="D711" t="s">
        <v>50</v>
      </c>
      <c r="E711" t="s">
        <v>32</v>
      </c>
      <c r="F711" t="s">
        <v>28</v>
      </c>
      <c r="G711" t="s">
        <v>47</v>
      </c>
      <c r="H711">
        <v>42</v>
      </c>
      <c r="I711" t="str">
        <f>IF(TBL[[#This Row],[Age]]&gt;=60, "Old", IF(TBL[[#This Row],[Age]]&gt;=30, "Adult", "Young"))</f>
        <v>Adult</v>
      </c>
      <c r="J711" s="1">
        <v>40692</v>
      </c>
      <c r="K711">
        <f t="shared" si="11"/>
        <v>2011</v>
      </c>
      <c r="L711">
        <f>MONTH(TBL[[#This Row],[Hire Date]])</f>
        <v>5</v>
      </c>
      <c r="M711" s="7">
        <v>102440</v>
      </c>
      <c r="N711" s="8">
        <v>0.06</v>
      </c>
      <c r="O711" t="s">
        <v>19</v>
      </c>
      <c r="P711" t="s">
        <v>20</v>
      </c>
      <c r="Q711" s="1" t="s">
        <v>21</v>
      </c>
    </row>
    <row r="712" spans="1:17" x14ac:dyDescent="0.35">
      <c r="A712" t="s">
        <v>390</v>
      </c>
      <c r="B712" t="s">
        <v>1530</v>
      </c>
      <c r="C712" t="s">
        <v>14</v>
      </c>
      <c r="D712" t="s">
        <v>27</v>
      </c>
      <c r="E712" t="s">
        <v>44</v>
      </c>
      <c r="F712" t="s">
        <v>28</v>
      </c>
      <c r="G712" t="s">
        <v>47</v>
      </c>
      <c r="H712">
        <v>59</v>
      </c>
      <c r="I712" t="str">
        <f>IF(TBL[[#This Row],[Age]]&gt;=60, "Old", IF(TBL[[#This Row],[Age]]&gt;=30, "Adult", "Young"))</f>
        <v>Adult</v>
      </c>
      <c r="J712" s="1">
        <v>40542</v>
      </c>
      <c r="K712">
        <f t="shared" si="11"/>
        <v>2010</v>
      </c>
      <c r="L712">
        <f>MONTH(TBL[[#This Row],[Hire Date]])</f>
        <v>12</v>
      </c>
      <c r="M712" s="7">
        <v>246619</v>
      </c>
      <c r="N712" s="8">
        <v>0.36</v>
      </c>
      <c r="O712" t="s">
        <v>19</v>
      </c>
      <c r="P712" t="s">
        <v>45</v>
      </c>
      <c r="Q712" s="1" t="s">
        <v>21</v>
      </c>
    </row>
    <row r="713" spans="1:17" x14ac:dyDescent="0.35">
      <c r="A713" t="s">
        <v>1531</v>
      </c>
      <c r="B713" t="s">
        <v>318</v>
      </c>
      <c r="C713" t="s">
        <v>62</v>
      </c>
      <c r="D713" t="s">
        <v>23</v>
      </c>
      <c r="E713" t="s">
        <v>32</v>
      </c>
      <c r="F713" t="s">
        <v>17</v>
      </c>
      <c r="G713" t="s">
        <v>51</v>
      </c>
      <c r="H713">
        <v>42</v>
      </c>
      <c r="I713" t="str">
        <f>IF(TBL[[#This Row],[Age]]&gt;=60, "Old", IF(TBL[[#This Row],[Age]]&gt;=30, "Adult", "Young"))</f>
        <v>Adult</v>
      </c>
      <c r="J713" s="1">
        <v>43058</v>
      </c>
      <c r="K713">
        <f t="shared" si="11"/>
        <v>2017</v>
      </c>
      <c r="L713">
        <f>MONTH(TBL[[#This Row],[Hire Date]])</f>
        <v>11</v>
      </c>
      <c r="M713" s="7">
        <v>101143</v>
      </c>
      <c r="N713" s="8">
        <v>0.06</v>
      </c>
      <c r="O713" t="s">
        <v>19</v>
      </c>
      <c r="P713" t="s">
        <v>45</v>
      </c>
      <c r="Q713" s="1" t="s">
        <v>21</v>
      </c>
    </row>
    <row r="714" spans="1:17" x14ac:dyDescent="0.35">
      <c r="A714" t="s">
        <v>1532</v>
      </c>
      <c r="B714" t="s">
        <v>1533</v>
      </c>
      <c r="C714" t="s">
        <v>83</v>
      </c>
      <c r="D714" t="s">
        <v>23</v>
      </c>
      <c r="E714" t="s">
        <v>36</v>
      </c>
      <c r="F714" t="s">
        <v>17</v>
      </c>
      <c r="G714" t="s">
        <v>51</v>
      </c>
      <c r="H714">
        <v>45</v>
      </c>
      <c r="I714" t="str">
        <f>IF(TBL[[#This Row],[Age]]&gt;=60, "Old", IF(TBL[[#This Row],[Age]]&gt;=30, "Adult", "Young"))</f>
        <v>Adult</v>
      </c>
      <c r="J714" s="1">
        <v>38639</v>
      </c>
      <c r="K714">
        <f t="shared" si="11"/>
        <v>2005</v>
      </c>
      <c r="L714">
        <f>MONTH(TBL[[#This Row],[Hire Date]])</f>
        <v>10</v>
      </c>
      <c r="M714" s="7">
        <v>51404</v>
      </c>
      <c r="N714" s="8">
        <v>0</v>
      </c>
      <c r="O714" t="s">
        <v>52</v>
      </c>
      <c r="P714" t="s">
        <v>81</v>
      </c>
      <c r="Q714" s="1">
        <v>40153</v>
      </c>
    </row>
    <row r="715" spans="1:17" x14ac:dyDescent="0.35">
      <c r="A715" t="s">
        <v>1534</v>
      </c>
      <c r="B715" t="s">
        <v>1535</v>
      </c>
      <c r="C715" t="s">
        <v>129</v>
      </c>
      <c r="D715" t="s">
        <v>31</v>
      </c>
      <c r="E715" t="s">
        <v>44</v>
      </c>
      <c r="F715" t="s">
        <v>28</v>
      </c>
      <c r="G715" t="s">
        <v>18</v>
      </c>
      <c r="H715">
        <v>45</v>
      </c>
      <c r="I715" t="str">
        <f>IF(TBL[[#This Row],[Age]]&gt;=60, "Old", IF(TBL[[#This Row],[Age]]&gt;=30, "Adult", "Young"))</f>
        <v>Adult</v>
      </c>
      <c r="J715" s="1">
        <v>42329</v>
      </c>
      <c r="K715">
        <f t="shared" si="11"/>
        <v>2015</v>
      </c>
      <c r="L715">
        <f>MONTH(TBL[[#This Row],[Hire Date]])</f>
        <v>11</v>
      </c>
      <c r="M715" s="7">
        <v>87292</v>
      </c>
      <c r="N715" s="8">
        <v>0</v>
      </c>
      <c r="O715" t="s">
        <v>19</v>
      </c>
      <c r="P715" t="s">
        <v>29</v>
      </c>
      <c r="Q715" s="1" t="s">
        <v>21</v>
      </c>
    </row>
    <row r="716" spans="1:17" x14ac:dyDescent="0.35">
      <c r="A716" t="s">
        <v>1536</v>
      </c>
      <c r="B716" t="s">
        <v>1537</v>
      </c>
      <c r="C716" t="s">
        <v>40</v>
      </c>
      <c r="D716" t="s">
        <v>43</v>
      </c>
      <c r="E716" t="s">
        <v>44</v>
      </c>
      <c r="F716" t="s">
        <v>17</v>
      </c>
      <c r="G716" t="s">
        <v>24</v>
      </c>
      <c r="H716">
        <v>28</v>
      </c>
      <c r="I716" t="str">
        <f>IF(TBL[[#This Row],[Age]]&gt;=60, "Old", IF(TBL[[#This Row],[Age]]&gt;=30, "Adult", "Young"))</f>
        <v>Young</v>
      </c>
      <c r="J716" s="1">
        <v>43810</v>
      </c>
      <c r="K716">
        <f t="shared" si="11"/>
        <v>2019</v>
      </c>
      <c r="L716">
        <f>MONTH(TBL[[#This Row],[Hire Date]])</f>
        <v>12</v>
      </c>
      <c r="M716" s="7">
        <v>182321</v>
      </c>
      <c r="N716" s="8">
        <v>0.28000000000000003</v>
      </c>
      <c r="O716" t="s">
        <v>33</v>
      </c>
      <c r="P716" t="s">
        <v>60</v>
      </c>
      <c r="Q716" s="1" t="s">
        <v>21</v>
      </c>
    </row>
    <row r="717" spans="1:17" x14ac:dyDescent="0.35">
      <c r="A717" t="s">
        <v>121</v>
      </c>
      <c r="B717" t="s">
        <v>1538</v>
      </c>
      <c r="C717" t="s">
        <v>76</v>
      </c>
      <c r="D717" t="s">
        <v>27</v>
      </c>
      <c r="E717" t="s">
        <v>32</v>
      </c>
      <c r="F717" t="s">
        <v>28</v>
      </c>
      <c r="G717" t="s">
        <v>18</v>
      </c>
      <c r="H717">
        <v>51</v>
      </c>
      <c r="I717" t="str">
        <f>IF(TBL[[#This Row],[Age]]&gt;=60, "Old", IF(TBL[[#This Row],[Age]]&gt;=30, "Adult", "Young"))</f>
        <v>Adult</v>
      </c>
      <c r="J717" s="1">
        <v>41697</v>
      </c>
      <c r="K717">
        <f t="shared" si="11"/>
        <v>2014</v>
      </c>
      <c r="L717">
        <f>MONTH(TBL[[#This Row],[Hire Date]])</f>
        <v>2</v>
      </c>
      <c r="M717" s="7">
        <v>53929</v>
      </c>
      <c r="N717" s="8">
        <v>0</v>
      </c>
      <c r="O717" t="s">
        <v>19</v>
      </c>
      <c r="P717" t="s">
        <v>45</v>
      </c>
      <c r="Q717" s="1">
        <v>43091</v>
      </c>
    </row>
    <row r="718" spans="1:17" x14ac:dyDescent="0.35">
      <c r="A718" t="s">
        <v>1539</v>
      </c>
      <c r="B718" t="s">
        <v>1540</v>
      </c>
      <c r="C718" t="s">
        <v>14</v>
      </c>
      <c r="D718" t="s">
        <v>65</v>
      </c>
      <c r="E718" t="s">
        <v>36</v>
      </c>
      <c r="F718" t="s">
        <v>17</v>
      </c>
      <c r="G718" t="s">
        <v>24</v>
      </c>
      <c r="H718">
        <v>38</v>
      </c>
      <c r="I718" t="str">
        <f>IF(TBL[[#This Row],[Age]]&gt;=60, "Old", IF(TBL[[#This Row],[Age]]&gt;=30, "Adult", "Young"))</f>
        <v>Adult</v>
      </c>
      <c r="J718" s="1">
        <v>41256</v>
      </c>
      <c r="K718">
        <f t="shared" si="11"/>
        <v>2012</v>
      </c>
      <c r="L718">
        <f>MONTH(TBL[[#This Row],[Hire Date]])</f>
        <v>12</v>
      </c>
      <c r="M718" s="7">
        <v>191571</v>
      </c>
      <c r="N718" s="8">
        <v>0.32</v>
      </c>
      <c r="O718" t="s">
        <v>19</v>
      </c>
      <c r="P718" t="s">
        <v>25</v>
      </c>
      <c r="Q718" s="1" t="s">
        <v>21</v>
      </c>
    </row>
    <row r="719" spans="1:17" x14ac:dyDescent="0.35">
      <c r="A719" t="s">
        <v>112</v>
      </c>
      <c r="B719" t="s">
        <v>1541</v>
      </c>
      <c r="C719" t="s">
        <v>61</v>
      </c>
      <c r="D719" t="s">
        <v>65</v>
      </c>
      <c r="E719" t="s">
        <v>32</v>
      </c>
      <c r="F719" t="s">
        <v>17</v>
      </c>
      <c r="G719" t="s">
        <v>18</v>
      </c>
      <c r="H719">
        <v>62</v>
      </c>
      <c r="I719" t="str">
        <f>IF(TBL[[#This Row],[Age]]&gt;=60, "Old", IF(TBL[[#This Row],[Age]]&gt;=30, "Adult", "Young"))</f>
        <v>Old</v>
      </c>
      <c r="J719" s="1">
        <v>39843</v>
      </c>
      <c r="K719">
        <f t="shared" si="11"/>
        <v>2009</v>
      </c>
      <c r="L719">
        <f>MONTH(TBL[[#This Row],[Hire Date]])</f>
        <v>1</v>
      </c>
      <c r="M719" s="7">
        <v>150555</v>
      </c>
      <c r="N719" s="8">
        <v>0.13</v>
      </c>
      <c r="O719" t="s">
        <v>19</v>
      </c>
      <c r="P719" t="s">
        <v>39</v>
      </c>
      <c r="Q719" s="1" t="s">
        <v>21</v>
      </c>
    </row>
    <row r="720" spans="1:17" x14ac:dyDescent="0.35">
      <c r="A720" t="s">
        <v>246</v>
      </c>
      <c r="B720" t="s">
        <v>1542</v>
      </c>
      <c r="C720" t="s">
        <v>62</v>
      </c>
      <c r="D720" t="s">
        <v>15</v>
      </c>
      <c r="E720" t="s">
        <v>32</v>
      </c>
      <c r="F720" t="s">
        <v>28</v>
      </c>
      <c r="G720" t="s">
        <v>24</v>
      </c>
      <c r="H720">
        <v>52</v>
      </c>
      <c r="I720" t="str">
        <f>IF(TBL[[#This Row],[Age]]&gt;=60, "Old", IF(TBL[[#This Row],[Age]]&gt;=30, "Adult", "Young"))</f>
        <v>Adult</v>
      </c>
      <c r="J720" s="1">
        <v>40091</v>
      </c>
      <c r="K720">
        <f t="shared" si="11"/>
        <v>2009</v>
      </c>
      <c r="L720">
        <f>MONTH(TBL[[#This Row],[Hire Date]])</f>
        <v>10</v>
      </c>
      <c r="M720" s="7">
        <v>122890</v>
      </c>
      <c r="N720" s="8">
        <v>7.0000000000000007E-2</v>
      </c>
      <c r="O720" t="s">
        <v>33</v>
      </c>
      <c r="P720" t="s">
        <v>74</v>
      </c>
      <c r="Q720" s="1" t="s">
        <v>21</v>
      </c>
    </row>
    <row r="721" spans="1:17" x14ac:dyDescent="0.35">
      <c r="A721" t="s">
        <v>1543</v>
      </c>
      <c r="B721" t="s">
        <v>1544</v>
      </c>
      <c r="C721" t="s">
        <v>14</v>
      </c>
      <c r="D721" t="s">
        <v>15</v>
      </c>
      <c r="E721" t="s">
        <v>16</v>
      </c>
      <c r="F721" t="s">
        <v>28</v>
      </c>
      <c r="G721" t="s">
        <v>24</v>
      </c>
      <c r="H721">
        <v>52</v>
      </c>
      <c r="I721" t="str">
        <f>IF(TBL[[#This Row],[Age]]&gt;=60, "Old", IF(TBL[[#This Row],[Age]]&gt;=30, "Adult", "Young"))</f>
        <v>Adult</v>
      </c>
      <c r="J721" s="1">
        <v>35576</v>
      </c>
      <c r="K721">
        <f t="shared" si="11"/>
        <v>1997</v>
      </c>
      <c r="L721">
        <f>MONTH(TBL[[#This Row],[Hire Date]])</f>
        <v>5</v>
      </c>
      <c r="M721" s="7">
        <v>216999</v>
      </c>
      <c r="N721" s="8">
        <v>0.37</v>
      </c>
      <c r="O721" t="s">
        <v>19</v>
      </c>
      <c r="P721" t="s">
        <v>45</v>
      </c>
      <c r="Q721" s="1" t="s">
        <v>21</v>
      </c>
    </row>
    <row r="722" spans="1:17" x14ac:dyDescent="0.35">
      <c r="A722" t="s">
        <v>1545</v>
      </c>
      <c r="B722" t="s">
        <v>1546</v>
      </c>
      <c r="C722" t="s">
        <v>62</v>
      </c>
      <c r="D722" t="s">
        <v>23</v>
      </c>
      <c r="E722" t="s">
        <v>32</v>
      </c>
      <c r="F722" t="s">
        <v>28</v>
      </c>
      <c r="G722" t="s">
        <v>24</v>
      </c>
      <c r="H722">
        <v>48</v>
      </c>
      <c r="I722" t="str">
        <f>IF(TBL[[#This Row],[Age]]&gt;=60, "Old", IF(TBL[[#This Row],[Age]]&gt;=30, "Adult", "Young"))</f>
        <v>Adult</v>
      </c>
      <c r="J722" s="1">
        <v>42201</v>
      </c>
      <c r="K722">
        <f t="shared" si="11"/>
        <v>2015</v>
      </c>
      <c r="L722">
        <f>MONTH(TBL[[#This Row],[Hire Date]])</f>
        <v>7</v>
      </c>
      <c r="M722" s="7">
        <v>110565</v>
      </c>
      <c r="N722" s="8">
        <v>0.09</v>
      </c>
      <c r="O722" t="s">
        <v>33</v>
      </c>
      <c r="P722" t="s">
        <v>60</v>
      </c>
      <c r="Q722" s="1" t="s">
        <v>21</v>
      </c>
    </row>
    <row r="723" spans="1:17" x14ac:dyDescent="0.35">
      <c r="A723" t="s">
        <v>307</v>
      </c>
      <c r="B723" t="s">
        <v>1547</v>
      </c>
      <c r="C723" t="s">
        <v>73</v>
      </c>
      <c r="D723" t="s">
        <v>27</v>
      </c>
      <c r="E723" t="s">
        <v>44</v>
      </c>
      <c r="F723" t="s">
        <v>28</v>
      </c>
      <c r="G723" t="s">
        <v>18</v>
      </c>
      <c r="H723">
        <v>38</v>
      </c>
      <c r="I723" t="str">
        <f>IF(TBL[[#This Row],[Age]]&gt;=60, "Old", IF(TBL[[#This Row],[Age]]&gt;=30, "Adult", "Young"))</f>
        <v>Adult</v>
      </c>
      <c r="J723" s="1">
        <v>42113</v>
      </c>
      <c r="K723">
        <f t="shared" si="11"/>
        <v>2015</v>
      </c>
      <c r="L723">
        <f>MONTH(TBL[[#This Row],[Hire Date]])</f>
        <v>4</v>
      </c>
      <c r="M723" s="7">
        <v>48762</v>
      </c>
      <c r="N723" s="8">
        <v>0</v>
      </c>
      <c r="O723" t="s">
        <v>19</v>
      </c>
      <c r="P723" t="s">
        <v>63</v>
      </c>
      <c r="Q723" s="1" t="s">
        <v>21</v>
      </c>
    </row>
    <row r="724" spans="1:17" x14ac:dyDescent="0.35">
      <c r="A724" t="s">
        <v>1548</v>
      </c>
      <c r="B724" t="s">
        <v>1549</v>
      </c>
      <c r="C724" t="s">
        <v>86</v>
      </c>
      <c r="D724" t="s">
        <v>31</v>
      </c>
      <c r="E724" t="s">
        <v>44</v>
      </c>
      <c r="F724" t="s">
        <v>17</v>
      </c>
      <c r="G724" t="s">
        <v>24</v>
      </c>
      <c r="H724">
        <v>51</v>
      </c>
      <c r="I724" t="str">
        <f>IF(TBL[[#This Row],[Age]]&gt;=60, "Old", IF(TBL[[#This Row],[Age]]&gt;=30, "Adult", "Young"))</f>
        <v>Adult</v>
      </c>
      <c r="J724" s="1">
        <v>42777</v>
      </c>
      <c r="K724">
        <f t="shared" si="11"/>
        <v>2017</v>
      </c>
      <c r="L724">
        <f>MONTH(TBL[[#This Row],[Hire Date]])</f>
        <v>2</v>
      </c>
      <c r="M724" s="7">
        <v>87036</v>
      </c>
      <c r="N724" s="8">
        <v>0</v>
      </c>
      <c r="O724" t="s">
        <v>33</v>
      </c>
      <c r="P724" t="s">
        <v>80</v>
      </c>
      <c r="Q724" s="1" t="s">
        <v>21</v>
      </c>
    </row>
    <row r="725" spans="1:17" x14ac:dyDescent="0.35">
      <c r="A725" t="s">
        <v>239</v>
      </c>
      <c r="B725" t="s">
        <v>1550</v>
      </c>
      <c r="C725" t="s">
        <v>40</v>
      </c>
      <c r="D725" t="s">
        <v>43</v>
      </c>
      <c r="E725" t="s">
        <v>44</v>
      </c>
      <c r="F725" t="s">
        <v>28</v>
      </c>
      <c r="G725" t="s">
        <v>18</v>
      </c>
      <c r="H725">
        <v>32</v>
      </c>
      <c r="I725" t="str">
        <f>IF(TBL[[#This Row],[Age]]&gt;=60, "Old", IF(TBL[[#This Row],[Age]]&gt;=30, "Adult", "Young"))</f>
        <v>Adult</v>
      </c>
      <c r="J725" s="1">
        <v>42702</v>
      </c>
      <c r="K725">
        <f t="shared" si="11"/>
        <v>2016</v>
      </c>
      <c r="L725">
        <f>MONTH(TBL[[#This Row],[Hire Date]])</f>
        <v>11</v>
      </c>
      <c r="M725" s="7">
        <v>177443</v>
      </c>
      <c r="N725" s="8">
        <v>0.16</v>
      </c>
      <c r="O725" t="s">
        <v>19</v>
      </c>
      <c r="P725" t="s">
        <v>63</v>
      </c>
      <c r="Q725" s="1" t="s">
        <v>21</v>
      </c>
    </row>
    <row r="726" spans="1:17" x14ac:dyDescent="0.35">
      <c r="A726" t="s">
        <v>247</v>
      </c>
      <c r="B726" t="s">
        <v>1551</v>
      </c>
      <c r="C726" t="s">
        <v>26</v>
      </c>
      <c r="D726" t="s">
        <v>27</v>
      </c>
      <c r="E726" t="s">
        <v>16</v>
      </c>
      <c r="F726" t="s">
        <v>17</v>
      </c>
      <c r="G726" t="s">
        <v>24</v>
      </c>
      <c r="H726">
        <v>36</v>
      </c>
      <c r="I726" t="str">
        <f>IF(TBL[[#This Row],[Age]]&gt;=60, "Old", IF(TBL[[#This Row],[Age]]&gt;=30, "Adult", "Young"))</f>
        <v>Adult</v>
      </c>
      <c r="J726" s="1">
        <v>42489</v>
      </c>
      <c r="K726">
        <f t="shared" si="11"/>
        <v>2016</v>
      </c>
      <c r="L726">
        <f>MONTH(TBL[[#This Row],[Hire Date]])</f>
        <v>4</v>
      </c>
      <c r="M726" s="7">
        <v>75862</v>
      </c>
      <c r="N726" s="8">
        <v>0</v>
      </c>
      <c r="O726" t="s">
        <v>19</v>
      </c>
      <c r="P726" t="s">
        <v>25</v>
      </c>
      <c r="Q726" s="1" t="s">
        <v>21</v>
      </c>
    </row>
    <row r="727" spans="1:17" x14ac:dyDescent="0.35">
      <c r="A727" t="s">
        <v>1552</v>
      </c>
      <c r="B727" t="s">
        <v>1553</v>
      </c>
      <c r="C727" t="s">
        <v>77</v>
      </c>
      <c r="D727" t="s">
        <v>23</v>
      </c>
      <c r="E727" t="s">
        <v>16</v>
      </c>
      <c r="F727" t="s">
        <v>17</v>
      </c>
      <c r="G727" t="s">
        <v>24</v>
      </c>
      <c r="H727">
        <v>45</v>
      </c>
      <c r="I727" t="str">
        <f>IF(TBL[[#This Row],[Age]]&gt;=60, "Old", IF(TBL[[#This Row],[Age]]&gt;=30, "Adult", "Young"))</f>
        <v>Adult</v>
      </c>
      <c r="J727" s="1">
        <v>43581</v>
      </c>
      <c r="K727">
        <f t="shared" si="11"/>
        <v>2019</v>
      </c>
      <c r="L727">
        <f>MONTH(TBL[[#This Row],[Hire Date]])</f>
        <v>4</v>
      </c>
      <c r="M727" s="7">
        <v>90870</v>
      </c>
      <c r="N727" s="8">
        <v>0</v>
      </c>
      <c r="O727" t="s">
        <v>19</v>
      </c>
      <c r="P727" t="s">
        <v>20</v>
      </c>
      <c r="Q727" s="1" t="s">
        <v>21</v>
      </c>
    </row>
    <row r="728" spans="1:17" x14ac:dyDescent="0.35">
      <c r="A728" t="s">
        <v>1554</v>
      </c>
      <c r="B728" t="s">
        <v>1555</v>
      </c>
      <c r="C728" t="s">
        <v>97</v>
      </c>
      <c r="D728" t="s">
        <v>31</v>
      </c>
      <c r="E728" t="s">
        <v>32</v>
      </c>
      <c r="F728" t="s">
        <v>17</v>
      </c>
      <c r="G728" t="s">
        <v>24</v>
      </c>
      <c r="H728">
        <v>32</v>
      </c>
      <c r="I728" t="str">
        <f>IF(TBL[[#This Row],[Age]]&gt;=60, "Old", IF(TBL[[#This Row],[Age]]&gt;=30, "Adult", "Young"))</f>
        <v>Adult</v>
      </c>
      <c r="J728" s="1">
        <v>41977</v>
      </c>
      <c r="K728">
        <f t="shared" si="11"/>
        <v>2014</v>
      </c>
      <c r="L728">
        <f>MONTH(TBL[[#This Row],[Hire Date]])</f>
        <v>12</v>
      </c>
      <c r="M728" s="7">
        <v>99202</v>
      </c>
      <c r="N728" s="8">
        <v>0.11</v>
      </c>
      <c r="O728" t="s">
        <v>19</v>
      </c>
      <c r="P728" t="s">
        <v>39</v>
      </c>
      <c r="Q728" s="1" t="s">
        <v>21</v>
      </c>
    </row>
    <row r="729" spans="1:17" x14ac:dyDescent="0.35">
      <c r="A729" t="s">
        <v>269</v>
      </c>
      <c r="B729" t="s">
        <v>1556</v>
      </c>
      <c r="C729" t="s">
        <v>42</v>
      </c>
      <c r="D729" t="s">
        <v>43</v>
      </c>
      <c r="E729" t="s">
        <v>32</v>
      </c>
      <c r="F729" t="s">
        <v>28</v>
      </c>
      <c r="G729" t="s">
        <v>24</v>
      </c>
      <c r="H729">
        <v>45</v>
      </c>
      <c r="I729" t="str">
        <f>IF(TBL[[#This Row],[Age]]&gt;=60, "Old", IF(TBL[[#This Row],[Age]]&gt;=30, "Adult", "Young"))</f>
        <v>Adult</v>
      </c>
      <c r="J729" s="1">
        <v>39347</v>
      </c>
      <c r="K729">
        <f t="shared" si="11"/>
        <v>2007</v>
      </c>
      <c r="L729">
        <f>MONTH(TBL[[#This Row],[Hire Date]])</f>
        <v>9</v>
      </c>
      <c r="M729" s="7">
        <v>92293</v>
      </c>
      <c r="N729" s="8">
        <v>0</v>
      </c>
      <c r="O729" t="s">
        <v>33</v>
      </c>
      <c r="P729" t="s">
        <v>34</v>
      </c>
      <c r="Q729" s="1" t="s">
        <v>21</v>
      </c>
    </row>
    <row r="730" spans="1:17" x14ac:dyDescent="0.35">
      <c r="A730" t="s">
        <v>1557</v>
      </c>
      <c r="B730" t="s">
        <v>1558</v>
      </c>
      <c r="C730" t="s">
        <v>88</v>
      </c>
      <c r="D730" t="s">
        <v>27</v>
      </c>
      <c r="E730" t="s">
        <v>32</v>
      </c>
      <c r="F730" t="s">
        <v>28</v>
      </c>
      <c r="G730" t="s">
        <v>18</v>
      </c>
      <c r="H730">
        <v>54</v>
      </c>
      <c r="I730" t="str">
        <f>IF(TBL[[#This Row],[Age]]&gt;=60, "Old", IF(TBL[[#This Row],[Age]]&gt;=30, "Adult", "Young"))</f>
        <v>Adult</v>
      </c>
      <c r="J730" s="1">
        <v>33785</v>
      </c>
      <c r="K730">
        <f t="shared" si="11"/>
        <v>1992</v>
      </c>
      <c r="L730">
        <f>MONTH(TBL[[#This Row],[Hire Date]])</f>
        <v>6</v>
      </c>
      <c r="M730" s="7">
        <v>63196</v>
      </c>
      <c r="N730" s="8">
        <v>0</v>
      </c>
      <c r="O730" t="s">
        <v>19</v>
      </c>
      <c r="P730" t="s">
        <v>20</v>
      </c>
      <c r="Q730" s="1">
        <v>41938</v>
      </c>
    </row>
    <row r="731" spans="1:17" x14ac:dyDescent="0.35">
      <c r="A731" t="s">
        <v>1559</v>
      </c>
      <c r="B731" t="s">
        <v>1560</v>
      </c>
      <c r="C731" t="s">
        <v>86</v>
      </c>
      <c r="D731" t="s">
        <v>31</v>
      </c>
      <c r="E731" t="s">
        <v>44</v>
      </c>
      <c r="F731" t="s">
        <v>17</v>
      </c>
      <c r="G731" t="s">
        <v>24</v>
      </c>
      <c r="H731">
        <v>48</v>
      </c>
      <c r="I731" t="str">
        <f>IF(TBL[[#This Row],[Age]]&gt;=60, "Old", IF(TBL[[#This Row],[Age]]&gt;=30, "Adult", "Young"))</f>
        <v>Adult</v>
      </c>
      <c r="J731" s="1">
        <v>41032</v>
      </c>
      <c r="K731">
        <f t="shared" si="11"/>
        <v>2012</v>
      </c>
      <c r="L731">
        <f>MONTH(TBL[[#This Row],[Hire Date]])</f>
        <v>5</v>
      </c>
      <c r="M731" s="7">
        <v>65340</v>
      </c>
      <c r="N731" s="8">
        <v>0</v>
      </c>
      <c r="O731" t="s">
        <v>33</v>
      </c>
      <c r="P731" t="s">
        <v>74</v>
      </c>
      <c r="Q731" s="1">
        <v>43229</v>
      </c>
    </row>
    <row r="732" spans="1:17" x14ac:dyDescent="0.35">
      <c r="A732" t="s">
        <v>109</v>
      </c>
      <c r="B732" t="s">
        <v>1561</v>
      </c>
      <c r="C732" t="s">
        <v>14</v>
      </c>
      <c r="D732" t="s">
        <v>43</v>
      </c>
      <c r="E732" t="s">
        <v>32</v>
      </c>
      <c r="F732" t="s">
        <v>28</v>
      </c>
      <c r="G732" t="s">
        <v>24</v>
      </c>
      <c r="H732">
        <v>45</v>
      </c>
      <c r="I732" t="str">
        <f>IF(TBL[[#This Row],[Age]]&gt;=60, "Old", IF(TBL[[#This Row],[Age]]&gt;=30, "Adult", "Young"))</f>
        <v>Adult</v>
      </c>
      <c r="J732" s="1">
        <v>42271</v>
      </c>
      <c r="K732">
        <f t="shared" si="11"/>
        <v>2015</v>
      </c>
      <c r="L732">
        <f>MONTH(TBL[[#This Row],[Hire Date]])</f>
        <v>9</v>
      </c>
      <c r="M732" s="7">
        <v>202680</v>
      </c>
      <c r="N732" s="8">
        <v>0.32</v>
      </c>
      <c r="O732" t="s">
        <v>19</v>
      </c>
      <c r="P732" t="s">
        <v>39</v>
      </c>
      <c r="Q732" s="1">
        <v>44790</v>
      </c>
    </row>
    <row r="733" spans="1:17" x14ac:dyDescent="0.35">
      <c r="A733" t="s">
        <v>1562</v>
      </c>
      <c r="B733" t="s">
        <v>1563</v>
      </c>
      <c r="C733" t="s">
        <v>56</v>
      </c>
      <c r="D733" t="s">
        <v>27</v>
      </c>
      <c r="E733" t="s">
        <v>36</v>
      </c>
      <c r="F733" t="s">
        <v>17</v>
      </c>
      <c r="G733" t="s">
        <v>51</v>
      </c>
      <c r="H733">
        <v>46</v>
      </c>
      <c r="I733" t="str">
        <f>IF(TBL[[#This Row],[Age]]&gt;=60, "Old", IF(TBL[[#This Row],[Age]]&gt;=30, "Adult", "Young"))</f>
        <v>Adult</v>
      </c>
      <c r="J733" s="1">
        <v>42849</v>
      </c>
      <c r="K733">
        <f t="shared" si="11"/>
        <v>2017</v>
      </c>
      <c r="L733">
        <f>MONTH(TBL[[#This Row],[Hire Date]])</f>
        <v>4</v>
      </c>
      <c r="M733" s="7">
        <v>77461</v>
      </c>
      <c r="N733" s="8">
        <v>0.09</v>
      </c>
      <c r="O733" t="s">
        <v>52</v>
      </c>
      <c r="P733" t="s">
        <v>53</v>
      </c>
      <c r="Q733" s="1" t="s">
        <v>21</v>
      </c>
    </row>
    <row r="734" spans="1:17" x14ac:dyDescent="0.35">
      <c r="A734" t="s">
        <v>222</v>
      </c>
      <c r="B734" t="s">
        <v>1564</v>
      </c>
      <c r="C734" t="s">
        <v>69</v>
      </c>
      <c r="D734" t="s">
        <v>31</v>
      </c>
      <c r="E734" t="s">
        <v>16</v>
      </c>
      <c r="F734" t="s">
        <v>17</v>
      </c>
      <c r="G734" t="s">
        <v>24</v>
      </c>
      <c r="H734">
        <v>40</v>
      </c>
      <c r="I734" t="str">
        <f>IF(TBL[[#This Row],[Age]]&gt;=60, "Old", IF(TBL[[#This Row],[Age]]&gt;=30, "Adult", "Young"))</f>
        <v>Adult</v>
      </c>
      <c r="J734" s="1">
        <v>42622</v>
      </c>
      <c r="K734">
        <f t="shared" si="11"/>
        <v>2016</v>
      </c>
      <c r="L734">
        <f>MONTH(TBL[[#This Row],[Hire Date]])</f>
        <v>9</v>
      </c>
      <c r="M734" s="7">
        <v>109680</v>
      </c>
      <c r="N734" s="8">
        <v>0</v>
      </c>
      <c r="O734" t="s">
        <v>33</v>
      </c>
      <c r="P734" t="s">
        <v>34</v>
      </c>
      <c r="Q734" s="1" t="s">
        <v>21</v>
      </c>
    </row>
    <row r="735" spans="1:17" x14ac:dyDescent="0.35">
      <c r="A735" t="s">
        <v>637</v>
      </c>
      <c r="B735" t="s">
        <v>1565</v>
      </c>
      <c r="C735" t="s">
        <v>40</v>
      </c>
      <c r="D735" t="s">
        <v>50</v>
      </c>
      <c r="E735" t="s">
        <v>36</v>
      </c>
      <c r="F735" t="s">
        <v>17</v>
      </c>
      <c r="G735" t="s">
        <v>47</v>
      </c>
      <c r="H735">
        <v>61</v>
      </c>
      <c r="I735" t="str">
        <f>IF(TBL[[#This Row],[Age]]&gt;=60, "Old", IF(TBL[[#This Row],[Age]]&gt;=30, "Adult", "Young"))</f>
        <v>Old</v>
      </c>
      <c r="J735" s="1">
        <v>35661</v>
      </c>
      <c r="K735">
        <f t="shared" si="11"/>
        <v>1997</v>
      </c>
      <c r="L735">
        <f>MONTH(TBL[[#This Row],[Hire Date]])</f>
        <v>8</v>
      </c>
      <c r="M735" s="7">
        <v>159567</v>
      </c>
      <c r="N735" s="8">
        <v>0.28000000000000003</v>
      </c>
      <c r="O735" t="s">
        <v>19</v>
      </c>
      <c r="P735" t="s">
        <v>39</v>
      </c>
      <c r="Q735" s="1" t="s">
        <v>21</v>
      </c>
    </row>
    <row r="736" spans="1:17" x14ac:dyDescent="0.35">
      <c r="A736" t="s">
        <v>1566</v>
      </c>
      <c r="B736" t="s">
        <v>1567</v>
      </c>
      <c r="C736" t="s">
        <v>86</v>
      </c>
      <c r="D736" t="s">
        <v>31</v>
      </c>
      <c r="E736" t="s">
        <v>44</v>
      </c>
      <c r="F736" t="s">
        <v>28</v>
      </c>
      <c r="G736" t="s">
        <v>51</v>
      </c>
      <c r="H736">
        <v>54</v>
      </c>
      <c r="I736" t="str">
        <f>IF(TBL[[#This Row],[Age]]&gt;=60, "Old", IF(TBL[[#This Row],[Age]]&gt;=30, "Adult", "Young"))</f>
        <v>Adult</v>
      </c>
      <c r="J736" s="1">
        <v>41237</v>
      </c>
      <c r="K736">
        <f t="shared" si="11"/>
        <v>2012</v>
      </c>
      <c r="L736">
        <f>MONTH(TBL[[#This Row],[Hire Date]])</f>
        <v>11</v>
      </c>
      <c r="M736" s="7">
        <v>94407</v>
      </c>
      <c r="N736" s="8">
        <v>0</v>
      </c>
      <c r="O736" t="s">
        <v>52</v>
      </c>
      <c r="P736" t="s">
        <v>53</v>
      </c>
      <c r="Q736" s="1" t="s">
        <v>21</v>
      </c>
    </row>
    <row r="737" spans="1:17" x14ac:dyDescent="0.35">
      <c r="A737" t="s">
        <v>224</v>
      </c>
      <c r="B737" t="s">
        <v>1568</v>
      </c>
      <c r="C737" t="s">
        <v>14</v>
      </c>
      <c r="D737" t="s">
        <v>23</v>
      </c>
      <c r="E737" t="s">
        <v>32</v>
      </c>
      <c r="F737" t="s">
        <v>28</v>
      </c>
      <c r="G737" t="s">
        <v>51</v>
      </c>
      <c r="H737">
        <v>62</v>
      </c>
      <c r="I737" t="str">
        <f>IF(TBL[[#This Row],[Age]]&gt;=60, "Old", IF(TBL[[#This Row],[Age]]&gt;=30, "Adult", "Young"))</f>
        <v>Old</v>
      </c>
      <c r="J737" s="1">
        <v>37484</v>
      </c>
      <c r="K737">
        <f t="shared" si="11"/>
        <v>2002</v>
      </c>
      <c r="L737">
        <f>MONTH(TBL[[#This Row],[Hire Date]])</f>
        <v>8</v>
      </c>
      <c r="M737" s="7">
        <v>234594</v>
      </c>
      <c r="N737" s="8">
        <v>0.33</v>
      </c>
      <c r="O737" t="s">
        <v>19</v>
      </c>
      <c r="P737" t="s">
        <v>63</v>
      </c>
      <c r="Q737" s="1" t="s">
        <v>21</v>
      </c>
    </row>
    <row r="738" spans="1:17" x14ac:dyDescent="0.35">
      <c r="A738" t="s">
        <v>1569</v>
      </c>
      <c r="B738" t="s">
        <v>1570</v>
      </c>
      <c r="C738" t="s">
        <v>76</v>
      </c>
      <c r="D738" t="s">
        <v>27</v>
      </c>
      <c r="E738" t="s">
        <v>44</v>
      </c>
      <c r="F738" t="s">
        <v>28</v>
      </c>
      <c r="G738" t="s">
        <v>18</v>
      </c>
      <c r="H738">
        <v>48</v>
      </c>
      <c r="I738" t="str">
        <f>IF(TBL[[#This Row],[Age]]&gt;=60, "Old", IF(TBL[[#This Row],[Age]]&gt;=30, "Adult", "Young"))</f>
        <v>Adult</v>
      </c>
      <c r="J738" s="1">
        <v>37298</v>
      </c>
      <c r="K738">
        <f t="shared" si="11"/>
        <v>2002</v>
      </c>
      <c r="L738">
        <f>MONTH(TBL[[#This Row],[Hire Date]])</f>
        <v>2</v>
      </c>
      <c r="M738" s="7">
        <v>43080</v>
      </c>
      <c r="N738" s="8">
        <v>0</v>
      </c>
      <c r="O738" t="s">
        <v>19</v>
      </c>
      <c r="P738" t="s">
        <v>25</v>
      </c>
      <c r="Q738" s="1" t="s">
        <v>21</v>
      </c>
    </row>
    <row r="739" spans="1:17" x14ac:dyDescent="0.35">
      <c r="A739" t="s">
        <v>278</v>
      </c>
      <c r="B739" t="s">
        <v>1571</v>
      </c>
      <c r="C739" t="s">
        <v>62</v>
      </c>
      <c r="D739" t="s">
        <v>43</v>
      </c>
      <c r="E739" t="s">
        <v>36</v>
      </c>
      <c r="F739" t="s">
        <v>17</v>
      </c>
      <c r="G739" t="s">
        <v>51</v>
      </c>
      <c r="H739">
        <v>29</v>
      </c>
      <c r="I739" t="str">
        <f>IF(TBL[[#This Row],[Age]]&gt;=60, "Old", IF(TBL[[#This Row],[Age]]&gt;=30, "Adult", "Young"))</f>
        <v>Young</v>
      </c>
      <c r="J739" s="1">
        <v>44325</v>
      </c>
      <c r="K739">
        <f t="shared" si="11"/>
        <v>2021</v>
      </c>
      <c r="L739">
        <f>MONTH(TBL[[#This Row],[Hire Date]])</f>
        <v>5</v>
      </c>
      <c r="M739" s="7">
        <v>129541</v>
      </c>
      <c r="N739" s="8">
        <v>0.08</v>
      </c>
      <c r="O739" t="s">
        <v>19</v>
      </c>
      <c r="P739" t="s">
        <v>39</v>
      </c>
      <c r="Q739" s="1">
        <v>44340</v>
      </c>
    </row>
    <row r="740" spans="1:17" x14ac:dyDescent="0.35">
      <c r="A740" t="s">
        <v>1572</v>
      </c>
      <c r="B740" t="s">
        <v>1573</v>
      </c>
      <c r="C740" t="s">
        <v>40</v>
      </c>
      <c r="D740" t="s">
        <v>50</v>
      </c>
      <c r="E740" t="s">
        <v>16</v>
      </c>
      <c r="F740" t="s">
        <v>28</v>
      </c>
      <c r="G740" t="s">
        <v>51</v>
      </c>
      <c r="H740">
        <v>39</v>
      </c>
      <c r="I740" t="str">
        <f>IF(TBL[[#This Row],[Age]]&gt;=60, "Old", IF(TBL[[#This Row],[Age]]&gt;=30, "Adult", "Young"))</f>
        <v>Adult</v>
      </c>
      <c r="J740" s="1">
        <v>41635</v>
      </c>
      <c r="K740">
        <f t="shared" si="11"/>
        <v>2013</v>
      </c>
      <c r="L740">
        <f>MONTH(TBL[[#This Row],[Hire Date]])</f>
        <v>12</v>
      </c>
      <c r="M740" s="7">
        <v>165756</v>
      </c>
      <c r="N740" s="8">
        <v>0.28000000000000003</v>
      </c>
      <c r="O740" t="s">
        <v>19</v>
      </c>
      <c r="P740" t="s">
        <v>29</v>
      </c>
      <c r="Q740" s="1">
        <v>43991</v>
      </c>
    </row>
    <row r="741" spans="1:17" x14ac:dyDescent="0.35">
      <c r="A741" t="s">
        <v>1574</v>
      </c>
      <c r="B741" t="s">
        <v>1575</v>
      </c>
      <c r="C741" t="s">
        <v>61</v>
      </c>
      <c r="D741" t="s">
        <v>15</v>
      </c>
      <c r="E741" t="s">
        <v>44</v>
      </c>
      <c r="F741" t="s">
        <v>28</v>
      </c>
      <c r="G741" t="s">
        <v>24</v>
      </c>
      <c r="H741">
        <v>44</v>
      </c>
      <c r="I741" t="str">
        <f>IF(TBL[[#This Row],[Age]]&gt;=60, "Old", IF(TBL[[#This Row],[Age]]&gt;=30, "Adult", "Young"))</f>
        <v>Adult</v>
      </c>
      <c r="J741" s="1">
        <v>40274</v>
      </c>
      <c r="K741">
        <f t="shared" si="11"/>
        <v>2010</v>
      </c>
      <c r="L741">
        <f>MONTH(TBL[[#This Row],[Hire Date]])</f>
        <v>4</v>
      </c>
      <c r="M741" s="7">
        <v>142878</v>
      </c>
      <c r="N741" s="8">
        <v>0.12</v>
      </c>
      <c r="O741" t="s">
        <v>19</v>
      </c>
      <c r="P741" t="s">
        <v>29</v>
      </c>
      <c r="Q741" s="1" t="s">
        <v>21</v>
      </c>
    </row>
    <row r="742" spans="1:17" x14ac:dyDescent="0.35">
      <c r="A742" t="s">
        <v>255</v>
      </c>
      <c r="B742" t="s">
        <v>1576</v>
      </c>
      <c r="C742" t="s">
        <v>40</v>
      </c>
      <c r="D742" t="s">
        <v>31</v>
      </c>
      <c r="E742" t="s">
        <v>36</v>
      </c>
      <c r="F742" t="s">
        <v>28</v>
      </c>
      <c r="G742" t="s">
        <v>18</v>
      </c>
      <c r="H742">
        <v>52</v>
      </c>
      <c r="I742" t="str">
        <f>IF(TBL[[#This Row],[Age]]&gt;=60, "Old", IF(TBL[[#This Row],[Age]]&gt;=30, "Adult", "Young"))</f>
        <v>Adult</v>
      </c>
      <c r="J742" s="1">
        <v>39018</v>
      </c>
      <c r="K742">
        <f t="shared" si="11"/>
        <v>2006</v>
      </c>
      <c r="L742">
        <f>MONTH(TBL[[#This Row],[Hire Date]])</f>
        <v>10</v>
      </c>
      <c r="M742" s="7">
        <v>187992</v>
      </c>
      <c r="N742" s="8">
        <v>0.28000000000000003</v>
      </c>
      <c r="O742" t="s">
        <v>19</v>
      </c>
      <c r="P742" t="s">
        <v>45</v>
      </c>
      <c r="Q742" s="1" t="s">
        <v>21</v>
      </c>
    </row>
    <row r="743" spans="1:17" x14ac:dyDescent="0.35">
      <c r="A743" t="s">
        <v>1577</v>
      </c>
      <c r="B743" t="s">
        <v>1578</v>
      </c>
      <c r="C743" t="s">
        <v>14</v>
      </c>
      <c r="D743" t="s">
        <v>23</v>
      </c>
      <c r="E743" t="s">
        <v>44</v>
      </c>
      <c r="F743" t="s">
        <v>17</v>
      </c>
      <c r="G743" t="s">
        <v>51</v>
      </c>
      <c r="H743">
        <v>45</v>
      </c>
      <c r="I743" t="str">
        <f>IF(TBL[[#This Row],[Age]]&gt;=60, "Old", IF(TBL[[#This Row],[Age]]&gt;=30, "Adult", "Young"))</f>
        <v>Adult</v>
      </c>
      <c r="J743" s="1">
        <v>43521</v>
      </c>
      <c r="K743">
        <f t="shared" si="11"/>
        <v>2019</v>
      </c>
      <c r="L743">
        <f>MONTH(TBL[[#This Row],[Hire Date]])</f>
        <v>2</v>
      </c>
      <c r="M743" s="7">
        <v>249801</v>
      </c>
      <c r="N743" s="8">
        <v>0.39</v>
      </c>
      <c r="O743" t="s">
        <v>52</v>
      </c>
      <c r="P743" t="s">
        <v>53</v>
      </c>
      <c r="Q743" s="1" t="s">
        <v>21</v>
      </c>
    </row>
    <row r="744" spans="1:17" x14ac:dyDescent="0.35">
      <c r="A744" t="s">
        <v>1579</v>
      </c>
      <c r="B744" t="s">
        <v>1580</v>
      </c>
      <c r="C744" t="s">
        <v>89</v>
      </c>
      <c r="D744" t="s">
        <v>27</v>
      </c>
      <c r="E744" t="s">
        <v>16</v>
      </c>
      <c r="F744" t="s">
        <v>28</v>
      </c>
      <c r="G744" t="s">
        <v>18</v>
      </c>
      <c r="H744">
        <v>48</v>
      </c>
      <c r="I744" t="str">
        <f>IF(TBL[[#This Row],[Age]]&gt;=60, "Old", IF(TBL[[#This Row],[Age]]&gt;=30, "Adult", "Young"))</f>
        <v>Adult</v>
      </c>
      <c r="J744" s="1">
        <v>38987</v>
      </c>
      <c r="K744">
        <f t="shared" si="11"/>
        <v>2006</v>
      </c>
      <c r="L744">
        <f>MONTH(TBL[[#This Row],[Hire Date]])</f>
        <v>9</v>
      </c>
      <c r="M744" s="7">
        <v>76505</v>
      </c>
      <c r="N744" s="8">
        <v>0</v>
      </c>
      <c r="O744" t="s">
        <v>19</v>
      </c>
      <c r="P744" t="s">
        <v>63</v>
      </c>
      <c r="Q744" s="1">
        <v>39180</v>
      </c>
    </row>
    <row r="745" spans="1:17" x14ac:dyDescent="0.35">
      <c r="A745" t="s">
        <v>1581</v>
      </c>
      <c r="B745" t="s">
        <v>1582</v>
      </c>
      <c r="C745" t="s">
        <v>82</v>
      </c>
      <c r="D745" t="s">
        <v>27</v>
      </c>
      <c r="E745" t="s">
        <v>32</v>
      </c>
      <c r="F745" t="s">
        <v>28</v>
      </c>
      <c r="G745" t="s">
        <v>51</v>
      </c>
      <c r="H745">
        <v>39</v>
      </c>
      <c r="I745" t="str">
        <f>IF(TBL[[#This Row],[Age]]&gt;=60, "Old", IF(TBL[[#This Row],[Age]]&gt;=30, "Adult", "Young"))</f>
        <v>Adult</v>
      </c>
      <c r="J745" s="1">
        <v>42664</v>
      </c>
      <c r="K745">
        <f t="shared" si="11"/>
        <v>2016</v>
      </c>
      <c r="L745">
        <f>MONTH(TBL[[#This Row],[Hire Date]])</f>
        <v>10</v>
      </c>
      <c r="M745" s="7">
        <v>84297</v>
      </c>
      <c r="N745" s="8">
        <v>0</v>
      </c>
      <c r="O745" t="s">
        <v>52</v>
      </c>
      <c r="P745" t="s">
        <v>81</v>
      </c>
      <c r="Q745" s="1" t="s">
        <v>21</v>
      </c>
    </row>
    <row r="746" spans="1:17" x14ac:dyDescent="0.35">
      <c r="A746" t="s">
        <v>1583</v>
      </c>
      <c r="B746" t="s">
        <v>1584</v>
      </c>
      <c r="C746" t="s">
        <v>42</v>
      </c>
      <c r="D746" t="s">
        <v>50</v>
      </c>
      <c r="E746" t="s">
        <v>44</v>
      </c>
      <c r="F746" t="s">
        <v>17</v>
      </c>
      <c r="G746" t="s">
        <v>51</v>
      </c>
      <c r="H746">
        <v>53</v>
      </c>
      <c r="I746" t="str">
        <f>IF(TBL[[#This Row],[Age]]&gt;=60, "Old", IF(TBL[[#This Row],[Age]]&gt;=30, "Adult", "Young"))</f>
        <v>Adult</v>
      </c>
      <c r="J746" s="1">
        <v>42744</v>
      </c>
      <c r="K746">
        <f t="shared" si="11"/>
        <v>2017</v>
      </c>
      <c r="L746">
        <f>MONTH(TBL[[#This Row],[Hire Date]])</f>
        <v>1</v>
      </c>
      <c r="M746" s="7">
        <v>75769</v>
      </c>
      <c r="N746" s="8">
        <v>0</v>
      </c>
      <c r="O746" t="s">
        <v>52</v>
      </c>
      <c r="P746" t="s">
        <v>81</v>
      </c>
      <c r="Q746" s="1">
        <v>44029</v>
      </c>
    </row>
    <row r="747" spans="1:17" x14ac:dyDescent="0.35">
      <c r="A747" t="s">
        <v>177</v>
      </c>
      <c r="B747" t="s">
        <v>1585</v>
      </c>
      <c r="C747" t="s">
        <v>14</v>
      </c>
      <c r="D747" t="s">
        <v>65</v>
      </c>
      <c r="E747" t="s">
        <v>44</v>
      </c>
      <c r="F747" t="s">
        <v>28</v>
      </c>
      <c r="G747" t="s">
        <v>18</v>
      </c>
      <c r="H747">
        <v>41</v>
      </c>
      <c r="I747" t="str">
        <f>IF(TBL[[#This Row],[Age]]&gt;=60, "Old", IF(TBL[[#This Row],[Age]]&gt;=30, "Adult", "Young"))</f>
        <v>Adult</v>
      </c>
      <c r="J747" s="1">
        <v>41503</v>
      </c>
      <c r="K747">
        <f t="shared" si="11"/>
        <v>2013</v>
      </c>
      <c r="L747">
        <f>MONTH(TBL[[#This Row],[Hire Date]])</f>
        <v>8</v>
      </c>
      <c r="M747" s="7">
        <v>235619</v>
      </c>
      <c r="N747" s="8">
        <v>0.3</v>
      </c>
      <c r="O747" t="s">
        <v>19</v>
      </c>
      <c r="P747" t="s">
        <v>63</v>
      </c>
      <c r="Q747" s="1" t="s">
        <v>21</v>
      </c>
    </row>
    <row r="748" spans="1:17" x14ac:dyDescent="0.35">
      <c r="A748" t="s">
        <v>1586</v>
      </c>
      <c r="B748" t="s">
        <v>1587</v>
      </c>
      <c r="C748" t="s">
        <v>40</v>
      </c>
      <c r="D748" t="s">
        <v>31</v>
      </c>
      <c r="E748" t="s">
        <v>44</v>
      </c>
      <c r="F748" t="s">
        <v>28</v>
      </c>
      <c r="G748" t="s">
        <v>51</v>
      </c>
      <c r="H748">
        <v>40</v>
      </c>
      <c r="I748" t="str">
        <f>IF(TBL[[#This Row],[Age]]&gt;=60, "Old", IF(TBL[[#This Row],[Age]]&gt;=30, "Adult", "Young"))</f>
        <v>Adult</v>
      </c>
      <c r="J748" s="1">
        <v>43868</v>
      </c>
      <c r="K748">
        <f t="shared" si="11"/>
        <v>2020</v>
      </c>
      <c r="L748">
        <f>MONTH(TBL[[#This Row],[Hire Date]])</f>
        <v>2</v>
      </c>
      <c r="M748" s="7">
        <v>187187</v>
      </c>
      <c r="N748" s="8">
        <v>0.18</v>
      </c>
      <c r="O748" t="s">
        <v>52</v>
      </c>
      <c r="P748" t="s">
        <v>81</v>
      </c>
      <c r="Q748" s="1" t="s">
        <v>21</v>
      </c>
    </row>
    <row r="749" spans="1:17" x14ac:dyDescent="0.35">
      <c r="A749" t="s">
        <v>340</v>
      </c>
      <c r="B749" t="s">
        <v>1588</v>
      </c>
      <c r="C749" t="s">
        <v>35</v>
      </c>
      <c r="D749" t="s">
        <v>27</v>
      </c>
      <c r="E749" t="s">
        <v>16</v>
      </c>
      <c r="F749" t="s">
        <v>28</v>
      </c>
      <c r="G749" t="s">
        <v>51</v>
      </c>
      <c r="H749">
        <v>48</v>
      </c>
      <c r="I749" t="str">
        <f>IF(TBL[[#This Row],[Age]]&gt;=60, "Old", IF(TBL[[#This Row],[Age]]&gt;=30, "Adult", "Young"))</f>
        <v>Adult</v>
      </c>
      <c r="J749" s="1">
        <v>38560</v>
      </c>
      <c r="K749">
        <f t="shared" si="11"/>
        <v>2005</v>
      </c>
      <c r="L749">
        <f>MONTH(TBL[[#This Row],[Hire Date]])</f>
        <v>7</v>
      </c>
      <c r="M749" s="7">
        <v>68987</v>
      </c>
      <c r="N749" s="8">
        <v>0</v>
      </c>
      <c r="O749" t="s">
        <v>19</v>
      </c>
      <c r="P749" t="s">
        <v>20</v>
      </c>
      <c r="Q749" s="1">
        <v>38829</v>
      </c>
    </row>
    <row r="750" spans="1:17" x14ac:dyDescent="0.35">
      <c r="A750" t="s">
        <v>1589</v>
      </c>
      <c r="B750" t="s">
        <v>1590</v>
      </c>
      <c r="C750" t="s">
        <v>40</v>
      </c>
      <c r="D750" t="s">
        <v>31</v>
      </c>
      <c r="E750" t="s">
        <v>44</v>
      </c>
      <c r="F750" t="s">
        <v>28</v>
      </c>
      <c r="G750" t="s">
        <v>18</v>
      </c>
      <c r="H750">
        <v>41</v>
      </c>
      <c r="I750" t="str">
        <f>IF(TBL[[#This Row],[Age]]&gt;=60, "Old", IF(TBL[[#This Row],[Age]]&gt;=30, "Adult", "Young"))</f>
        <v>Adult</v>
      </c>
      <c r="J750" s="1">
        <v>39156</v>
      </c>
      <c r="K750">
        <f t="shared" si="11"/>
        <v>2007</v>
      </c>
      <c r="L750">
        <f>MONTH(TBL[[#This Row],[Hire Date]])</f>
        <v>3</v>
      </c>
      <c r="M750" s="7">
        <v>155926</v>
      </c>
      <c r="N750" s="8">
        <v>0.24</v>
      </c>
      <c r="O750" t="s">
        <v>19</v>
      </c>
      <c r="P750" t="s">
        <v>29</v>
      </c>
      <c r="Q750" s="1">
        <v>39598</v>
      </c>
    </row>
    <row r="751" spans="1:17" x14ac:dyDescent="0.35">
      <c r="A751" t="s">
        <v>135</v>
      </c>
      <c r="B751" t="s">
        <v>1591</v>
      </c>
      <c r="C751" t="s">
        <v>42</v>
      </c>
      <c r="D751" t="s">
        <v>65</v>
      </c>
      <c r="E751" t="s">
        <v>44</v>
      </c>
      <c r="F751" t="s">
        <v>28</v>
      </c>
      <c r="G751" t="s">
        <v>24</v>
      </c>
      <c r="H751">
        <v>54</v>
      </c>
      <c r="I751" t="str">
        <f>IF(TBL[[#This Row],[Age]]&gt;=60, "Old", IF(TBL[[#This Row],[Age]]&gt;=30, "Adult", "Young"))</f>
        <v>Adult</v>
      </c>
      <c r="J751" s="1">
        <v>42494</v>
      </c>
      <c r="K751">
        <f t="shared" si="11"/>
        <v>2016</v>
      </c>
      <c r="L751">
        <f>MONTH(TBL[[#This Row],[Hire Date]])</f>
        <v>5</v>
      </c>
      <c r="M751" s="7">
        <v>93668</v>
      </c>
      <c r="N751" s="8">
        <v>0</v>
      </c>
      <c r="O751" t="s">
        <v>19</v>
      </c>
      <c r="P751" t="s">
        <v>20</v>
      </c>
      <c r="Q751" s="1" t="s">
        <v>21</v>
      </c>
    </row>
    <row r="752" spans="1:17" x14ac:dyDescent="0.35">
      <c r="A752" t="s">
        <v>160</v>
      </c>
      <c r="B752" t="s">
        <v>1592</v>
      </c>
      <c r="C752" t="s">
        <v>22</v>
      </c>
      <c r="D752" t="s">
        <v>23</v>
      </c>
      <c r="E752" t="s">
        <v>16</v>
      </c>
      <c r="F752" t="s">
        <v>28</v>
      </c>
      <c r="G752" t="s">
        <v>18</v>
      </c>
      <c r="H752">
        <v>38</v>
      </c>
      <c r="I752" t="str">
        <f>IF(TBL[[#This Row],[Age]]&gt;=60, "Old", IF(TBL[[#This Row],[Age]]&gt;=30, "Adult", "Young"))</f>
        <v>Adult</v>
      </c>
      <c r="J752" s="1">
        <v>43798</v>
      </c>
      <c r="K752">
        <f t="shared" si="11"/>
        <v>2019</v>
      </c>
      <c r="L752">
        <f>MONTH(TBL[[#This Row],[Hire Date]])</f>
        <v>11</v>
      </c>
      <c r="M752" s="7">
        <v>69647</v>
      </c>
      <c r="N752" s="8">
        <v>0</v>
      </c>
      <c r="O752" t="s">
        <v>19</v>
      </c>
      <c r="P752" t="s">
        <v>45</v>
      </c>
      <c r="Q752" s="1">
        <v>44671</v>
      </c>
    </row>
    <row r="753" spans="1:17" x14ac:dyDescent="0.35">
      <c r="A753" t="s">
        <v>233</v>
      </c>
      <c r="B753" t="s">
        <v>1593</v>
      </c>
      <c r="C753" t="s">
        <v>98</v>
      </c>
      <c r="D753" t="s">
        <v>27</v>
      </c>
      <c r="E753" t="s">
        <v>32</v>
      </c>
      <c r="F753" t="s">
        <v>28</v>
      </c>
      <c r="G753" t="s">
        <v>24</v>
      </c>
      <c r="H753">
        <v>57</v>
      </c>
      <c r="I753" t="str">
        <f>IF(TBL[[#This Row],[Age]]&gt;=60, "Old", IF(TBL[[#This Row],[Age]]&gt;=30, "Adult", "Young"))</f>
        <v>Adult</v>
      </c>
      <c r="J753" s="1">
        <v>37798</v>
      </c>
      <c r="K753">
        <f t="shared" si="11"/>
        <v>2003</v>
      </c>
      <c r="L753">
        <f>MONTH(TBL[[#This Row],[Hire Date]])</f>
        <v>6</v>
      </c>
      <c r="M753" s="7">
        <v>63318</v>
      </c>
      <c r="N753" s="8">
        <v>0</v>
      </c>
      <c r="O753" t="s">
        <v>19</v>
      </c>
      <c r="P753" t="s">
        <v>29</v>
      </c>
      <c r="Q753" s="1" t="s">
        <v>21</v>
      </c>
    </row>
    <row r="754" spans="1:17" x14ac:dyDescent="0.35">
      <c r="A754" t="s">
        <v>1594</v>
      </c>
      <c r="B754" t="s">
        <v>1595</v>
      </c>
      <c r="C754" t="s">
        <v>42</v>
      </c>
      <c r="D754" t="s">
        <v>43</v>
      </c>
      <c r="E754" t="s">
        <v>36</v>
      </c>
      <c r="F754" t="s">
        <v>28</v>
      </c>
      <c r="G754" t="s">
        <v>24</v>
      </c>
      <c r="H754">
        <v>63</v>
      </c>
      <c r="I754" t="str">
        <f>IF(TBL[[#This Row],[Age]]&gt;=60, "Old", IF(TBL[[#This Row],[Age]]&gt;=30, "Adult", "Young"))</f>
        <v>Old</v>
      </c>
      <c r="J754" s="1">
        <v>42778</v>
      </c>
      <c r="K754">
        <f t="shared" si="11"/>
        <v>2017</v>
      </c>
      <c r="L754">
        <f>MONTH(TBL[[#This Row],[Hire Date]])</f>
        <v>2</v>
      </c>
      <c r="M754" s="7">
        <v>77629</v>
      </c>
      <c r="N754" s="8">
        <v>0</v>
      </c>
      <c r="O754" t="s">
        <v>33</v>
      </c>
      <c r="P754" t="s">
        <v>60</v>
      </c>
      <c r="Q754" s="1" t="s">
        <v>21</v>
      </c>
    </row>
    <row r="755" spans="1:17" x14ac:dyDescent="0.35">
      <c r="A755" t="s">
        <v>1596</v>
      </c>
      <c r="B755" t="s">
        <v>1597</v>
      </c>
      <c r="C755" t="s">
        <v>61</v>
      </c>
      <c r="D755" t="s">
        <v>23</v>
      </c>
      <c r="E755" t="s">
        <v>36</v>
      </c>
      <c r="F755" t="s">
        <v>28</v>
      </c>
      <c r="G755" t="s">
        <v>24</v>
      </c>
      <c r="H755">
        <v>62</v>
      </c>
      <c r="I755" t="str">
        <f>IF(TBL[[#This Row],[Age]]&gt;=60, "Old", IF(TBL[[#This Row],[Age]]&gt;=30, "Adult", "Young"))</f>
        <v>Old</v>
      </c>
      <c r="J755" s="1">
        <v>43061</v>
      </c>
      <c r="K755">
        <f t="shared" si="11"/>
        <v>2017</v>
      </c>
      <c r="L755">
        <f>MONTH(TBL[[#This Row],[Hire Date]])</f>
        <v>11</v>
      </c>
      <c r="M755" s="7">
        <v>138808</v>
      </c>
      <c r="N755" s="8">
        <v>0.15</v>
      </c>
      <c r="O755" t="s">
        <v>33</v>
      </c>
      <c r="P755" t="s">
        <v>80</v>
      </c>
      <c r="Q755" s="1" t="s">
        <v>21</v>
      </c>
    </row>
    <row r="756" spans="1:17" x14ac:dyDescent="0.35">
      <c r="A756" t="s">
        <v>1598</v>
      </c>
      <c r="B756" t="s">
        <v>1599</v>
      </c>
      <c r="C756" t="s">
        <v>26</v>
      </c>
      <c r="D756" t="s">
        <v>27</v>
      </c>
      <c r="E756" t="s">
        <v>16</v>
      </c>
      <c r="F756" t="s">
        <v>17</v>
      </c>
      <c r="G756" t="s">
        <v>18</v>
      </c>
      <c r="H756">
        <v>49</v>
      </c>
      <c r="I756" t="str">
        <f>IF(TBL[[#This Row],[Age]]&gt;=60, "Old", IF(TBL[[#This Row],[Age]]&gt;=30, "Adult", "Young"))</f>
        <v>Adult</v>
      </c>
      <c r="J756" s="1">
        <v>41703</v>
      </c>
      <c r="K756">
        <f t="shared" si="11"/>
        <v>2014</v>
      </c>
      <c r="L756">
        <f>MONTH(TBL[[#This Row],[Hire Date]])</f>
        <v>3</v>
      </c>
      <c r="M756" s="7">
        <v>88777</v>
      </c>
      <c r="N756" s="8">
        <v>0</v>
      </c>
      <c r="O756" t="s">
        <v>19</v>
      </c>
      <c r="P756" t="s">
        <v>20</v>
      </c>
      <c r="Q756" s="1" t="s">
        <v>21</v>
      </c>
    </row>
    <row r="757" spans="1:17" x14ac:dyDescent="0.35">
      <c r="A757" t="s">
        <v>1600</v>
      </c>
      <c r="B757" t="s">
        <v>1601</v>
      </c>
      <c r="C757" t="s">
        <v>40</v>
      </c>
      <c r="D757" t="s">
        <v>65</v>
      </c>
      <c r="E757" t="s">
        <v>32</v>
      </c>
      <c r="F757" t="s">
        <v>17</v>
      </c>
      <c r="G757" t="s">
        <v>24</v>
      </c>
      <c r="H757">
        <v>60</v>
      </c>
      <c r="I757" t="str">
        <f>IF(TBL[[#This Row],[Age]]&gt;=60, "Old", IF(TBL[[#This Row],[Age]]&gt;=30, "Adult", "Young"))</f>
        <v>Old</v>
      </c>
      <c r="J757" s="1">
        <v>38121</v>
      </c>
      <c r="K757">
        <f t="shared" si="11"/>
        <v>2004</v>
      </c>
      <c r="L757">
        <f>MONTH(TBL[[#This Row],[Hire Date]])</f>
        <v>5</v>
      </c>
      <c r="M757" s="7">
        <v>186378</v>
      </c>
      <c r="N757" s="8">
        <v>0.26</v>
      </c>
      <c r="O757" t="s">
        <v>33</v>
      </c>
      <c r="P757" t="s">
        <v>80</v>
      </c>
      <c r="Q757" s="1" t="s">
        <v>21</v>
      </c>
    </row>
    <row r="758" spans="1:17" x14ac:dyDescent="0.35">
      <c r="A758" t="s">
        <v>373</v>
      </c>
      <c r="B758" t="s">
        <v>1602</v>
      </c>
      <c r="C758" t="s">
        <v>30</v>
      </c>
      <c r="D758" t="s">
        <v>31</v>
      </c>
      <c r="E758" t="s">
        <v>16</v>
      </c>
      <c r="F758" t="s">
        <v>17</v>
      </c>
      <c r="G758" t="s">
        <v>24</v>
      </c>
      <c r="H758">
        <v>45</v>
      </c>
      <c r="I758" t="str">
        <f>IF(TBL[[#This Row],[Age]]&gt;=60, "Old", IF(TBL[[#This Row],[Age]]&gt;=30, "Adult", "Young"))</f>
        <v>Adult</v>
      </c>
      <c r="J758" s="1">
        <v>42117</v>
      </c>
      <c r="K758">
        <f t="shared" si="11"/>
        <v>2015</v>
      </c>
      <c r="L758">
        <f>MONTH(TBL[[#This Row],[Hire Date]])</f>
        <v>4</v>
      </c>
      <c r="M758" s="7">
        <v>60017</v>
      </c>
      <c r="N758" s="8">
        <v>0</v>
      </c>
      <c r="O758" t="s">
        <v>19</v>
      </c>
      <c r="P758" t="s">
        <v>20</v>
      </c>
      <c r="Q758" s="1" t="s">
        <v>21</v>
      </c>
    </row>
    <row r="759" spans="1:17" x14ac:dyDescent="0.35">
      <c r="A759" t="s">
        <v>1603</v>
      </c>
      <c r="B759" t="s">
        <v>1604</v>
      </c>
      <c r="C759" t="s">
        <v>61</v>
      </c>
      <c r="D759" t="s">
        <v>50</v>
      </c>
      <c r="E759" t="s">
        <v>44</v>
      </c>
      <c r="F759" t="s">
        <v>17</v>
      </c>
      <c r="G759" t="s">
        <v>51</v>
      </c>
      <c r="H759">
        <v>45</v>
      </c>
      <c r="I759" t="str">
        <f>IF(TBL[[#This Row],[Age]]&gt;=60, "Old", IF(TBL[[#This Row],[Age]]&gt;=30, "Adult", "Young"))</f>
        <v>Adult</v>
      </c>
      <c r="J759" s="1">
        <v>43305</v>
      </c>
      <c r="K759">
        <f t="shared" si="11"/>
        <v>2018</v>
      </c>
      <c r="L759">
        <f>MONTH(TBL[[#This Row],[Hire Date]])</f>
        <v>7</v>
      </c>
      <c r="M759" s="7">
        <v>148991</v>
      </c>
      <c r="N759" s="8">
        <v>0.12</v>
      </c>
      <c r="O759" t="s">
        <v>52</v>
      </c>
      <c r="P759" t="s">
        <v>53</v>
      </c>
      <c r="Q759" s="1" t="s">
        <v>21</v>
      </c>
    </row>
    <row r="760" spans="1:17" x14ac:dyDescent="0.35">
      <c r="A760" t="s">
        <v>365</v>
      </c>
      <c r="B760" t="s">
        <v>1605</v>
      </c>
      <c r="C760" t="s">
        <v>129</v>
      </c>
      <c r="D760" t="s">
        <v>31</v>
      </c>
      <c r="E760" t="s">
        <v>44</v>
      </c>
      <c r="F760" t="s">
        <v>17</v>
      </c>
      <c r="G760" t="s">
        <v>51</v>
      </c>
      <c r="H760">
        <v>52</v>
      </c>
      <c r="I760" t="str">
        <f>IF(TBL[[#This Row],[Age]]&gt;=60, "Old", IF(TBL[[#This Row],[Age]]&gt;=30, "Adult", "Young"))</f>
        <v>Adult</v>
      </c>
      <c r="J760" s="1">
        <v>39532</v>
      </c>
      <c r="K760">
        <f t="shared" si="11"/>
        <v>2008</v>
      </c>
      <c r="L760">
        <f>MONTH(TBL[[#This Row],[Hire Date]])</f>
        <v>3</v>
      </c>
      <c r="M760" s="7">
        <v>97398</v>
      </c>
      <c r="N760" s="8">
        <v>0</v>
      </c>
      <c r="O760" t="s">
        <v>52</v>
      </c>
      <c r="P760" t="s">
        <v>81</v>
      </c>
      <c r="Q760" s="1" t="s">
        <v>21</v>
      </c>
    </row>
    <row r="761" spans="1:17" x14ac:dyDescent="0.35">
      <c r="A761" t="s">
        <v>1606</v>
      </c>
      <c r="B761" t="s">
        <v>1607</v>
      </c>
      <c r="C761" t="s">
        <v>77</v>
      </c>
      <c r="D761" t="s">
        <v>23</v>
      </c>
      <c r="E761" t="s">
        <v>36</v>
      </c>
      <c r="F761" t="s">
        <v>17</v>
      </c>
      <c r="G761" t="s">
        <v>24</v>
      </c>
      <c r="H761">
        <v>63</v>
      </c>
      <c r="I761" t="str">
        <f>IF(TBL[[#This Row],[Age]]&gt;=60, "Old", IF(TBL[[#This Row],[Age]]&gt;=30, "Adult", "Young"))</f>
        <v>Old</v>
      </c>
      <c r="J761" s="1">
        <v>39204</v>
      </c>
      <c r="K761">
        <f t="shared" si="11"/>
        <v>2007</v>
      </c>
      <c r="L761">
        <f>MONTH(TBL[[#This Row],[Hire Date]])</f>
        <v>5</v>
      </c>
      <c r="M761" s="7">
        <v>72805</v>
      </c>
      <c r="N761" s="8">
        <v>0</v>
      </c>
      <c r="O761" t="s">
        <v>33</v>
      </c>
      <c r="P761" t="s">
        <v>74</v>
      </c>
      <c r="Q761" s="1" t="s">
        <v>21</v>
      </c>
    </row>
    <row r="762" spans="1:17" x14ac:dyDescent="0.35">
      <c r="A762" t="s">
        <v>195</v>
      </c>
      <c r="B762" t="s">
        <v>1608</v>
      </c>
      <c r="C762" t="s">
        <v>49</v>
      </c>
      <c r="D762" t="s">
        <v>50</v>
      </c>
      <c r="E762" t="s">
        <v>16</v>
      </c>
      <c r="F762" t="s">
        <v>17</v>
      </c>
      <c r="G762" t="s">
        <v>24</v>
      </c>
      <c r="H762">
        <v>46</v>
      </c>
      <c r="I762" t="str">
        <f>IF(TBL[[#This Row],[Age]]&gt;=60, "Old", IF(TBL[[#This Row],[Age]]&gt;=30, "Adult", "Young"))</f>
        <v>Adult</v>
      </c>
      <c r="J762" s="1">
        <v>44213</v>
      </c>
      <c r="K762">
        <f t="shared" si="11"/>
        <v>2021</v>
      </c>
      <c r="L762">
        <f>MONTH(TBL[[#This Row],[Hire Date]])</f>
        <v>1</v>
      </c>
      <c r="M762" s="7">
        <v>72131</v>
      </c>
      <c r="N762" s="8">
        <v>0</v>
      </c>
      <c r="O762" t="s">
        <v>33</v>
      </c>
      <c r="P762" t="s">
        <v>74</v>
      </c>
      <c r="Q762" s="1" t="s">
        <v>21</v>
      </c>
    </row>
    <row r="763" spans="1:17" x14ac:dyDescent="0.35">
      <c r="A763" t="s">
        <v>1609</v>
      </c>
      <c r="B763" t="s">
        <v>1610</v>
      </c>
      <c r="C763" t="s">
        <v>62</v>
      </c>
      <c r="D763" t="s">
        <v>23</v>
      </c>
      <c r="E763" t="s">
        <v>36</v>
      </c>
      <c r="F763" t="s">
        <v>28</v>
      </c>
      <c r="G763" t="s">
        <v>18</v>
      </c>
      <c r="H763">
        <v>64</v>
      </c>
      <c r="I763" t="str">
        <f>IF(TBL[[#This Row],[Age]]&gt;=60, "Old", IF(TBL[[#This Row],[Age]]&gt;=30, "Adult", "Young"))</f>
        <v>Old</v>
      </c>
      <c r="J763" s="1">
        <v>33964</v>
      </c>
      <c r="K763">
        <f t="shared" si="11"/>
        <v>1992</v>
      </c>
      <c r="L763">
        <f>MONTH(TBL[[#This Row],[Hire Date]])</f>
        <v>12</v>
      </c>
      <c r="M763" s="7">
        <v>104668</v>
      </c>
      <c r="N763" s="8">
        <v>0.08</v>
      </c>
      <c r="O763" t="s">
        <v>19</v>
      </c>
      <c r="P763" t="s">
        <v>29</v>
      </c>
      <c r="Q763" s="1" t="s">
        <v>21</v>
      </c>
    </row>
    <row r="764" spans="1:17" x14ac:dyDescent="0.35">
      <c r="A764" t="s">
        <v>1611</v>
      </c>
      <c r="B764" t="s">
        <v>1612</v>
      </c>
      <c r="C764" t="s">
        <v>42</v>
      </c>
      <c r="D764" t="s">
        <v>50</v>
      </c>
      <c r="E764" t="s">
        <v>36</v>
      </c>
      <c r="F764" t="s">
        <v>17</v>
      </c>
      <c r="G764" t="s">
        <v>18</v>
      </c>
      <c r="H764">
        <v>53</v>
      </c>
      <c r="I764" t="str">
        <f>IF(TBL[[#This Row],[Age]]&gt;=60, "Old", IF(TBL[[#This Row],[Age]]&gt;=30, "Adult", "Young"))</f>
        <v>Adult</v>
      </c>
      <c r="J764" s="1">
        <v>42952</v>
      </c>
      <c r="K764">
        <f t="shared" si="11"/>
        <v>2017</v>
      </c>
      <c r="L764">
        <f>MONTH(TBL[[#This Row],[Hire Date]])</f>
        <v>8</v>
      </c>
      <c r="M764" s="7">
        <v>89769</v>
      </c>
      <c r="N764" s="8">
        <v>0</v>
      </c>
      <c r="O764" t="s">
        <v>19</v>
      </c>
      <c r="P764" t="s">
        <v>63</v>
      </c>
      <c r="Q764" s="1" t="s">
        <v>21</v>
      </c>
    </row>
    <row r="765" spans="1:17" x14ac:dyDescent="0.35">
      <c r="A765" t="s">
        <v>1613</v>
      </c>
      <c r="B765" t="s">
        <v>1614</v>
      </c>
      <c r="C765" t="s">
        <v>62</v>
      </c>
      <c r="D765" t="s">
        <v>50</v>
      </c>
      <c r="E765" t="s">
        <v>32</v>
      </c>
      <c r="F765" t="s">
        <v>17</v>
      </c>
      <c r="G765" t="s">
        <v>24</v>
      </c>
      <c r="H765">
        <v>27</v>
      </c>
      <c r="I765" t="str">
        <f>IF(TBL[[#This Row],[Age]]&gt;=60, "Old", IF(TBL[[#This Row],[Age]]&gt;=30, "Adult", "Young"))</f>
        <v>Young</v>
      </c>
      <c r="J765" s="1">
        <v>43358</v>
      </c>
      <c r="K765">
        <f t="shared" si="11"/>
        <v>2018</v>
      </c>
      <c r="L765">
        <f>MONTH(TBL[[#This Row],[Hire Date]])</f>
        <v>9</v>
      </c>
      <c r="M765" s="7">
        <v>127616</v>
      </c>
      <c r="N765" s="8">
        <v>7.0000000000000007E-2</v>
      </c>
      <c r="O765" t="s">
        <v>19</v>
      </c>
      <c r="P765" t="s">
        <v>29</v>
      </c>
      <c r="Q765" s="1" t="s">
        <v>21</v>
      </c>
    </row>
    <row r="766" spans="1:17" x14ac:dyDescent="0.35">
      <c r="A766" t="s">
        <v>345</v>
      </c>
      <c r="B766" t="s">
        <v>1615</v>
      </c>
      <c r="C766" t="s">
        <v>62</v>
      </c>
      <c r="D766" t="s">
        <v>23</v>
      </c>
      <c r="E766" t="s">
        <v>32</v>
      </c>
      <c r="F766" t="s">
        <v>28</v>
      </c>
      <c r="G766" t="s">
        <v>18</v>
      </c>
      <c r="H766">
        <v>45</v>
      </c>
      <c r="I766" t="str">
        <f>IF(TBL[[#This Row],[Age]]&gt;=60, "Old", IF(TBL[[#This Row],[Age]]&gt;=30, "Adult", "Young"))</f>
        <v>Adult</v>
      </c>
      <c r="J766" s="1">
        <v>41099</v>
      </c>
      <c r="K766">
        <f t="shared" si="11"/>
        <v>2012</v>
      </c>
      <c r="L766">
        <f>MONTH(TBL[[#This Row],[Hire Date]])</f>
        <v>7</v>
      </c>
      <c r="M766" s="7">
        <v>109883</v>
      </c>
      <c r="N766" s="8">
        <v>7.0000000000000007E-2</v>
      </c>
      <c r="O766" t="s">
        <v>19</v>
      </c>
      <c r="P766" t="s">
        <v>29</v>
      </c>
      <c r="Q766" s="1" t="s">
        <v>21</v>
      </c>
    </row>
    <row r="767" spans="1:17" x14ac:dyDescent="0.35">
      <c r="A767" t="s">
        <v>1616</v>
      </c>
      <c r="B767" t="s">
        <v>111</v>
      </c>
      <c r="C767" t="s">
        <v>83</v>
      </c>
      <c r="D767" t="s">
        <v>23</v>
      </c>
      <c r="E767" t="s">
        <v>36</v>
      </c>
      <c r="F767" t="s">
        <v>17</v>
      </c>
      <c r="G767" t="s">
        <v>24</v>
      </c>
      <c r="H767">
        <v>25</v>
      </c>
      <c r="I767" t="str">
        <f>IF(TBL[[#This Row],[Age]]&gt;=60, "Old", IF(TBL[[#This Row],[Age]]&gt;=30, "Adult", "Young"))</f>
        <v>Young</v>
      </c>
      <c r="J767" s="1">
        <v>44270</v>
      </c>
      <c r="K767">
        <f t="shared" si="11"/>
        <v>2021</v>
      </c>
      <c r="L767">
        <f>MONTH(TBL[[#This Row],[Hire Date]])</f>
        <v>3</v>
      </c>
      <c r="M767" s="7">
        <v>47974</v>
      </c>
      <c r="N767" s="8">
        <v>0</v>
      </c>
      <c r="O767" t="s">
        <v>33</v>
      </c>
      <c r="P767" t="s">
        <v>80</v>
      </c>
      <c r="Q767" s="1" t="s">
        <v>21</v>
      </c>
    </row>
    <row r="768" spans="1:17" x14ac:dyDescent="0.35">
      <c r="A768" t="s">
        <v>1617</v>
      </c>
      <c r="B768" t="s">
        <v>1618</v>
      </c>
      <c r="C768" t="s">
        <v>61</v>
      </c>
      <c r="D768" t="s">
        <v>27</v>
      </c>
      <c r="E768" t="s">
        <v>44</v>
      </c>
      <c r="F768" t="s">
        <v>17</v>
      </c>
      <c r="G768" t="s">
        <v>18</v>
      </c>
      <c r="H768">
        <v>43</v>
      </c>
      <c r="I768" t="str">
        <f>IF(TBL[[#This Row],[Age]]&gt;=60, "Old", IF(TBL[[#This Row],[Age]]&gt;=30, "Adult", "Young"))</f>
        <v>Adult</v>
      </c>
      <c r="J768" s="1">
        <v>42090</v>
      </c>
      <c r="K768">
        <f t="shared" si="11"/>
        <v>2015</v>
      </c>
      <c r="L768">
        <f>MONTH(TBL[[#This Row],[Hire Date]])</f>
        <v>3</v>
      </c>
      <c r="M768" s="7">
        <v>120321</v>
      </c>
      <c r="N768" s="8">
        <v>0.12</v>
      </c>
      <c r="O768" t="s">
        <v>19</v>
      </c>
      <c r="P768" t="s">
        <v>25</v>
      </c>
      <c r="Q768" s="1" t="s">
        <v>21</v>
      </c>
    </row>
    <row r="769" spans="1:17" x14ac:dyDescent="0.35">
      <c r="A769" t="s">
        <v>1619</v>
      </c>
      <c r="B769" t="s">
        <v>281</v>
      </c>
      <c r="C769" t="s">
        <v>73</v>
      </c>
      <c r="D769" t="s">
        <v>27</v>
      </c>
      <c r="E769" t="s">
        <v>36</v>
      </c>
      <c r="F769" t="s">
        <v>17</v>
      </c>
      <c r="G769" t="s">
        <v>51</v>
      </c>
      <c r="H769">
        <v>61</v>
      </c>
      <c r="I769" t="str">
        <f>IF(TBL[[#This Row],[Age]]&gt;=60, "Old", IF(TBL[[#This Row],[Age]]&gt;=30, "Adult", "Young"))</f>
        <v>Old</v>
      </c>
      <c r="J769" s="1">
        <v>41861</v>
      </c>
      <c r="K769">
        <f t="shared" si="11"/>
        <v>2014</v>
      </c>
      <c r="L769">
        <f>MONTH(TBL[[#This Row],[Hire Date]])</f>
        <v>8</v>
      </c>
      <c r="M769" s="7">
        <v>57446</v>
      </c>
      <c r="N769" s="8">
        <v>0</v>
      </c>
      <c r="O769" t="s">
        <v>19</v>
      </c>
      <c r="P769" t="s">
        <v>39</v>
      </c>
      <c r="Q769" s="1" t="s">
        <v>21</v>
      </c>
    </row>
    <row r="770" spans="1:17" x14ac:dyDescent="0.35">
      <c r="A770" t="s">
        <v>139</v>
      </c>
      <c r="B770" t="s">
        <v>1620</v>
      </c>
      <c r="C770" t="s">
        <v>40</v>
      </c>
      <c r="D770" t="s">
        <v>65</v>
      </c>
      <c r="E770" t="s">
        <v>16</v>
      </c>
      <c r="F770" t="s">
        <v>17</v>
      </c>
      <c r="G770" t="s">
        <v>18</v>
      </c>
      <c r="H770">
        <v>42</v>
      </c>
      <c r="I770" t="str">
        <f>IF(TBL[[#This Row],[Age]]&gt;=60, "Old", IF(TBL[[#This Row],[Age]]&gt;=30, "Adult", "Young"))</f>
        <v>Adult</v>
      </c>
      <c r="J770" s="1">
        <v>39968</v>
      </c>
      <c r="K770">
        <f t="shared" ref="K770:K833" si="12">YEAR(--J770)</f>
        <v>2009</v>
      </c>
      <c r="L770">
        <f>MONTH(TBL[[#This Row],[Hire Date]])</f>
        <v>6</v>
      </c>
      <c r="M770" s="7">
        <v>174099</v>
      </c>
      <c r="N770" s="8">
        <v>0.26</v>
      </c>
      <c r="O770" t="s">
        <v>19</v>
      </c>
      <c r="P770" t="s">
        <v>25</v>
      </c>
      <c r="Q770" s="1" t="s">
        <v>21</v>
      </c>
    </row>
    <row r="771" spans="1:17" x14ac:dyDescent="0.35">
      <c r="A771" t="s">
        <v>220</v>
      </c>
      <c r="B771" t="s">
        <v>1621</v>
      </c>
      <c r="C771" t="s">
        <v>61</v>
      </c>
      <c r="D771" t="s">
        <v>15</v>
      </c>
      <c r="E771" t="s">
        <v>36</v>
      </c>
      <c r="F771" t="s">
        <v>28</v>
      </c>
      <c r="G771" t="s">
        <v>24</v>
      </c>
      <c r="H771">
        <v>63</v>
      </c>
      <c r="I771" t="str">
        <f>IF(TBL[[#This Row],[Age]]&gt;=60, "Old", IF(TBL[[#This Row],[Age]]&gt;=30, "Adult", "Young"))</f>
        <v>Old</v>
      </c>
      <c r="J771" s="1">
        <v>37295</v>
      </c>
      <c r="K771">
        <f t="shared" si="12"/>
        <v>2002</v>
      </c>
      <c r="L771">
        <f>MONTH(TBL[[#This Row],[Hire Date]])</f>
        <v>2</v>
      </c>
      <c r="M771" s="7">
        <v>128703</v>
      </c>
      <c r="N771" s="8">
        <v>0.13</v>
      </c>
      <c r="O771" t="s">
        <v>19</v>
      </c>
      <c r="P771" t="s">
        <v>25</v>
      </c>
      <c r="Q771" s="1" t="s">
        <v>21</v>
      </c>
    </row>
    <row r="772" spans="1:17" x14ac:dyDescent="0.35">
      <c r="A772" t="s">
        <v>1622</v>
      </c>
      <c r="B772" t="s">
        <v>1623</v>
      </c>
      <c r="C772" t="s">
        <v>129</v>
      </c>
      <c r="D772" t="s">
        <v>31</v>
      </c>
      <c r="E772" t="s">
        <v>32</v>
      </c>
      <c r="F772" t="s">
        <v>17</v>
      </c>
      <c r="G772" t="s">
        <v>18</v>
      </c>
      <c r="H772">
        <v>32</v>
      </c>
      <c r="I772" t="str">
        <f>IF(TBL[[#This Row],[Age]]&gt;=60, "Old", IF(TBL[[#This Row],[Age]]&gt;=30, "Adult", "Young"))</f>
        <v>Adult</v>
      </c>
      <c r="J772" s="1">
        <v>42317</v>
      </c>
      <c r="K772">
        <f t="shared" si="12"/>
        <v>2015</v>
      </c>
      <c r="L772">
        <f>MONTH(TBL[[#This Row],[Hire Date]])</f>
        <v>11</v>
      </c>
      <c r="M772" s="7">
        <v>65247</v>
      </c>
      <c r="N772" s="8">
        <v>0</v>
      </c>
      <c r="O772" t="s">
        <v>19</v>
      </c>
      <c r="P772" t="s">
        <v>39</v>
      </c>
      <c r="Q772" s="1" t="s">
        <v>21</v>
      </c>
    </row>
    <row r="773" spans="1:17" x14ac:dyDescent="0.35">
      <c r="A773" t="s">
        <v>1624</v>
      </c>
      <c r="B773" t="s">
        <v>1625</v>
      </c>
      <c r="C773" t="s">
        <v>30</v>
      </c>
      <c r="D773" t="s">
        <v>31</v>
      </c>
      <c r="E773" t="s">
        <v>16</v>
      </c>
      <c r="F773" t="s">
        <v>28</v>
      </c>
      <c r="G773" t="s">
        <v>51</v>
      </c>
      <c r="H773">
        <v>27</v>
      </c>
      <c r="I773" t="str">
        <f>IF(TBL[[#This Row],[Age]]&gt;=60, "Old", IF(TBL[[#This Row],[Age]]&gt;=30, "Adult", "Young"))</f>
        <v>Young</v>
      </c>
      <c r="J773" s="1">
        <v>43371</v>
      </c>
      <c r="K773">
        <f t="shared" si="12"/>
        <v>2018</v>
      </c>
      <c r="L773">
        <f>MONTH(TBL[[#This Row],[Hire Date]])</f>
        <v>9</v>
      </c>
      <c r="M773" s="7">
        <v>64247</v>
      </c>
      <c r="N773" s="8">
        <v>0</v>
      </c>
      <c r="O773" t="s">
        <v>52</v>
      </c>
      <c r="P773" t="s">
        <v>66</v>
      </c>
      <c r="Q773" s="1" t="s">
        <v>21</v>
      </c>
    </row>
    <row r="774" spans="1:17" x14ac:dyDescent="0.35">
      <c r="A774" t="s">
        <v>1626</v>
      </c>
      <c r="B774" t="s">
        <v>1627</v>
      </c>
      <c r="C774" t="s">
        <v>62</v>
      </c>
      <c r="D774" t="s">
        <v>23</v>
      </c>
      <c r="E774" t="s">
        <v>16</v>
      </c>
      <c r="F774" t="s">
        <v>17</v>
      </c>
      <c r="G774" t="s">
        <v>18</v>
      </c>
      <c r="H774">
        <v>33</v>
      </c>
      <c r="I774" t="str">
        <f>IF(TBL[[#This Row],[Age]]&gt;=60, "Old", IF(TBL[[#This Row],[Age]]&gt;=30, "Adult", "Young"))</f>
        <v>Adult</v>
      </c>
      <c r="J774" s="1">
        <v>41071</v>
      </c>
      <c r="K774">
        <f t="shared" si="12"/>
        <v>2012</v>
      </c>
      <c r="L774">
        <f>MONTH(TBL[[#This Row],[Hire Date]])</f>
        <v>6</v>
      </c>
      <c r="M774" s="7">
        <v>118253</v>
      </c>
      <c r="N774" s="8">
        <v>0.08</v>
      </c>
      <c r="O774" t="s">
        <v>19</v>
      </c>
      <c r="P774" t="s">
        <v>25</v>
      </c>
      <c r="Q774" s="1" t="s">
        <v>21</v>
      </c>
    </row>
    <row r="775" spans="1:17" x14ac:dyDescent="0.35">
      <c r="A775" t="s">
        <v>1628</v>
      </c>
      <c r="B775" t="s">
        <v>1629</v>
      </c>
      <c r="C775" t="s">
        <v>69</v>
      </c>
      <c r="D775" t="s">
        <v>31</v>
      </c>
      <c r="E775" t="s">
        <v>36</v>
      </c>
      <c r="F775" t="s">
        <v>17</v>
      </c>
      <c r="G775" t="s">
        <v>24</v>
      </c>
      <c r="H775">
        <v>45</v>
      </c>
      <c r="I775" t="str">
        <f>IF(TBL[[#This Row],[Age]]&gt;=60, "Old", IF(TBL[[#This Row],[Age]]&gt;=30, "Adult", "Young"))</f>
        <v>Adult</v>
      </c>
      <c r="J775" s="1">
        <v>38057</v>
      </c>
      <c r="K775">
        <f t="shared" si="12"/>
        <v>2004</v>
      </c>
      <c r="L775">
        <f>MONTH(TBL[[#This Row],[Hire Date]])</f>
        <v>3</v>
      </c>
      <c r="M775" s="7">
        <v>109422</v>
      </c>
      <c r="N775" s="8">
        <v>0</v>
      </c>
      <c r="O775" t="s">
        <v>33</v>
      </c>
      <c r="P775" t="s">
        <v>80</v>
      </c>
      <c r="Q775" s="1" t="s">
        <v>21</v>
      </c>
    </row>
    <row r="776" spans="1:17" x14ac:dyDescent="0.35">
      <c r="A776" t="s">
        <v>1630</v>
      </c>
      <c r="B776" t="s">
        <v>1631</v>
      </c>
      <c r="C776" t="s">
        <v>62</v>
      </c>
      <c r="D776" t="s">
        <v>23</v>
      </c>
      <c r="E776" t="s">
        <v>32</v>
      </c>
      <c r="F776" t="s">
        <v>28</v>
      </c>
      <c r="G776" t="s">
        <v>24</v>
      </c>
      <c r="H776">
        <v>41</v>
      </c>
      <c r="I776" t="str">
        <f>IF(TBL[[#This Row],[Age]]&gt;=60, "Old", IF(TBL[[#This Row],[Age]]&gt;=30, "Adult", "Young"))</f>
        <v>Adult</v>
      </c>
      <c r="J776" s="1">
        <v>43502</v>
      </c>
      <c r="K776">
        <f t="shared" si="12"/>
        <v>2019</v>
      </c>
      <c r="L776">
        <f>MONTH(TBL[[#This Row],[Hire Date]])</f>
        <v>2</v>
      </c>
      <c r="M776" s="7">
        <v>126950</v>
      </c>
      <c r="N776" s="8">
        <v>0.1</v>
      </c>
      <c r="O776" t="s">
        <v>19</v>
      </c>
      <c r="P776" t="s">
        <v>20</v>
      </c>
      <c r="Q776" s="1" t="s">
        <v>21</v>
      </c>
    </row>
    <row r="777" spans="1:17" x14ac:dyDescent="0.35">
      <c r="A777" t="s">
        <v>1632</v>
      </c>
      <c r="B777" t="s">
        <v>1633</v>
      </c>
      <c r="C777" t="s">
        <v>26</v>
      </c>
      <c r="D777" t="s">
        <v>27</v>
      </c>
      <c r="E777" t="s">
        <v>36</v>
      </c>
      <c r="F777" t="s">
        <v>17</v>
      </c>
      <c r="G777" t="s">
        <v>24</v>
      </c>
      <c r="H777">
        <v>36</v>
      </c>
      <c r="I777" t="str">
        <f>IF(TBL[[#This Row],[Age]]&gt;=60, "Old", IF(TBL[[#This Row],[Age]]&gt;=30, "Adult", "Young"))</f>
        <v>Adult</v>
      </c>
      <c r="J777" s="1">
        <v>41964</v>
      </c>
      <c r="K777">
        <f t="shared" si="12"/>
        <v>2014</v>
      </c>
      <c r="L777">
        <f>MONTH(TBL[[#This Row],[Hire Date]])</f>
        <v>11</v>
      </c>
      <c r="M777" s="7">
        <v>97500</v>
      </c>
      <c r="N777" s="8">
        <v>0</v>
      </c>
      <c r="O777" t="s">
        <v>19</v>
      </c>
      <c r="P777" t="s">
        <v>45</v>
      </c>
      <c r="Q777" s="1" t="s">
        <v>21</v>
      </c>
    </row>
    <row r="778" spans="1:17" x14ac:dyDescent="0.35">
      <c r="A778" t="s">
        <v>1634</v>
      </c>
      <c r="B778" t="s">
        <v>1635</v>
      </c>
      <c r="C778" t="s">
        <v>73</v>
      </c>
      <c r="D778" t="s">
        <v>27</v>
      </c>
      <c r="E778" t="s">
        <v>36</v>
      </c>
      <c r="F778" t="s">
        <v>28</v>
      </c>
      <c r="G778" t="s">
        <v>24</v>
      </c>
      <c r="H778">
        <v>25</v>
      </c>
      <c r="I778" t="str">
        <f>IF(TBL[[#This Row],[Age]]&gt;=60, "Old", IF(TBL[[#This Row],[Age]]&gt;=30, "Adult", "Young"))</f>
        <v>Young</v>
      </c>
      <c r="J778" s="1">
        <v>44213</v>
      </c>
      <c r="K778">
        <f t="shared" si="12"/>
        <v>2021</v>
      </c>
      <c r="L778">
        <f>MONTH(TBL[[#This Row],[Hire Date]])</f>
        <v>1</v>
      </c>
      <c r="M778" s="7">
        <v>41844</v>
      </c>
      <c r="N778" s="8">
        <v>0</v>
      </c>
      <c r="O778" t="s">
        <v>33</v>
      </c>
      <c r="P778" t="s">
        <v>80</v>
      </c>
      <c r="Q778" s="1" t="s">
        <v>21</v>
      </c>
    </row>
    <row r="779" spans="1:17" x14ac:dyDescent="0.35">
      <c r="A779" t="s">
        <v>1636</v>
      </c>
      <c r="B779" t="s">
        <v>1637</v>
      </c>
      <c r="C779" t="s">
        <v>64</v>
      </c>
      <c r="D779" t="s">
        <v>65</v>
      </c>
      <c r="E779" t="s">
        <v>16</v>
      </c>
      <c r="F779" t="s">
        <v>28</v>
      </c>
      <c r="G779" t="s">
        <v>24</v>
      </c>
      <c r="H779">
        <v>43</v>
      </c>
      <c r="I779" t="str">
        <f>IF(TBL[[#This Row],[Age]]&gt;=60, "Old", IF(TBL[[#This Row],[Age]]&gt;=30, "Adult", "Young"))</f>
        <v>Adult</v>
      </c>
      <c r="J779" s="1">
        <v>41680</v>
      </c>
      <c r="K779">
        <f t="shared" si="12"/>
        <v>2014</v>
      </c>
      <c r="L779">
        <f>MONTH(TBL[[#This Row],[Hire Date]])</f>
        <v>2</v>
      </c>
      <c r="M779" s="7">
        <v>58875</v>
      </c>
      <c r="N779" s="8">
        <v>0</v>
      </c>
      <c r="O779" t="s">
        <v>33</v>
      </c>
      <c r="P779" t="s">
        <v>34</v>
      </c>
      <c r="Q779" s="1" t="s">
        <v>21</v>
      </c>
    </row>
    <row r="780" spans="1:17" x14ac:dyDescent="0.35">
      <c r="A780" t="s">
        <v>1638</v>
      </c>
      <c r="B780" t="s">
        <v>1639</v>
      </c>
      <c r="C780" t="s">
        <v>94</v>
      </c>
      <c r="D780" t="s">
        <v>50</v>
      </c>
      <c r="E780" t="s">
        <v>36</v>
      </c>
      <c r="F780" t="s">
        <v>17</v>
      </c>
      <c r="G780" t="s">
        <v>24</v>
      </c>
      <c r="H780">
        <v>37</v>
      </c>
      <c r="I780" t="str">
        <f>IF(TBL[[#This Row],[Age]]&gt;=60, "Old", IF(TBL[[#This Row],[Age]]&gt;=30, "Adult", "Young"))</f>
        <v>Adult</v>
      </c>
      <c r="J780" s="1">
        <v>42318</v>
      </c>
      <c r="K780">
        <f t="shared" si="12"/>
        <v>2015</v>
      </c>
      <c r="L780">
        <f>MONTH(TBL[[#This Row],[Hire Date]])</f>
        <v>11</v>
      </c>
      <c r="M780" s="7">
        <v>64204</v>
      </c>
      <c r="N780" s="8">
        <v>0</v>
      </c>
      <c r="O780" t="s">
        <v>19</v>
      </c>
      <c r="P780" t="s">
        <v>29</v>
      </c>
      <c r="Q780" s="1">
        <v>44306</v>
      </c>
    </row>
    <row r="781" spans="1:17" x14ac:dyDescent="0.35">
      <c r="A781" t="s">
        <v>1640</v>
      </c>
      <c r="B781" t="s">
        <v>1641</v>
      </c>
      <c r="C781" t="s">
        <v>64</v>
      </c>
      <c r="D781" t="s">
        <v>50</v>
      </c>
      <c r="E781" t="s">
        <v>32</v>
      </c>
      <c r="F781" t="s">
        <v>17</v>
      </c>
      <c r="G781" t="s">
        <v>24</v>
      </c>
      <c r="H781">
        <v>42</v>
      </c>
      <c r="I781" t="str">
        <f>IF(TBL[[#This Row],[Age]]&gt;=60, "Old", IF(TBL[[#This Row],[Age]]&gt;=30, "Adult", "Young"))</f>
        <v>Adult</v>
      </c>
      <c r="J781" s="1">
        <v>40307</v>
      </c>
      <c r="K781">
        <f t="shared" si="12"/>
        <v>2010</v>
      </c>
      <c r="L781">
        <f>MONTH(TBL[[#This Row],[Hire Date]])</f>
        <v>5</v>
      </c>
      <c r="M781" s="7">
        <v>67743</v>
      </c>
      <c r="N781" s="8">
        <v>0</v>
      </c>
      <c r="O781" t="s">
        <v>33</v>
      </c>
      <c r="P781" t="s">
        <v>60</v>
      </c>
      <c r="Q781" s="1">
        <v>41998</v>
      </c>
    </row>
    <row r="782" spans="1:17" x14ac:dyDescent="0.35">
      <c r="A782" t="s">
        <v>1642</v>
      </c>
      <c r="B782" t="s">
        <v>1345</v>
      </c>
      <c r="C782" t="s">
        <v>49</v>
      </c>
      <c r="D782" t="s">
        <v>50</v>
      </c>
      <c r="E782" t="s">
        <v>44</v>
      </c>
      <c r="F782" t="s">
        <v>17</v>
      </c>
      <c r="G782" t="s">
        <v>47</v>
      </c>
      <c r="H782">
        <v>60</v>
      </c>
      <c r="I782" t="str">
        <f>IF(TBL[[#This Row],[Age]]&gt;=60, "Old", IF(TBL[[#This Row],[Age]]&gt;=30, "Adult", "Young"))</f>
        <v>Old</v>
      </c>
      <c r="J782" s="1">
        <v>35641</v>
      </c>
      <c r="K782">
        <f t="shared" si="12"/>
        <v>1997</v>
      </c>
      <c r="L782">
        <f>MONTH(TBL[[#This Row],[Hire Date]])</f>
        <v>7</v>
      </c>
      <c r="M782" s="7">
        <v>71677</v>
      </c>
      <c r="N782" s="8">
        <v>0</v>
      </c>
      <c r="O782" t="s">
        <v>19</v>
      </c>
      <c r="P782" t="s">
        <v>29</v>
      </c>
      <c r="Q782" s="1" t="s">
        <v>21</v>
      </c>
    </row>
    <row r="783" spans="1:17" x14ac:dyDescent="0.35">
      <c r="A783" t="s">
        <v>300</v>
      </c>
      <c r="B783" t="s">
        <v>1643</v>
      </c>
      <c r="C783" t="s">
        <v>73</v>
      </c>
      <c r="D783" t="s">
        <v>27</v>
      </c>
      <c r="E783" t="s">
        <v>44</v>
      </c>
      <c r="F783" t="s">
        <v>28</v>
      </c>
      <c r="G783" t="s">
        <v>24</v>
      </c>
      <c r="H783">
        <v>61</v>
      </c>
      <c r="I783" t="str">
        <f>IF(TBL[[#This Row],[Age]]&gt;=60, "Old", IF(TBL[[#This Row],[Age]]&gt;=30, "Adult", "Young"))</f>
        <v>Old</v>
      </c>
      <c r="J783" s="1">
        <v>36793</v>
      </c>
      <c r="K783">
        <f t="shared" si="12"/>
        <v>2000</v>
      </c>
      <c r="L783">
        <f>MONTH(TBL[[#This Row],[Hire Date]])</f>
        <v>9</v>
      </c>
      <c r="M783" s="7">
        <v>40063</v>
      </c>
      <c r="N783" s="8">
        <v>0</v>
      </c>
      <c r="O783" t="s">
        <v>19</v>
      </c>
      <c r="P783" t="s">
        <v>45</v>
      </c>
      <c r="Q783" s="1" t="s">
        <v>21</v>
      </c>
    </row>
    <row r="784" spans="1:17" x14ac:dyDescent="0.35">
      <c r="A784" t="s">
        <v>363</v>
      </c>
      <c r="B784" t="s">
        <v>1644</v>
      </c>
      <c r="C784" t="s">
        <v>73</v>
      </c>
      <c r="D784" t="s">
        <v>27</v>
      </c>
      <c r="E784" t="s">
        <v>36</v>
      </c>
      <c r="F784" t="s">
        <v>17</v>
      </c>
      <c r="G784" t="s">
        <v>18</v>
      </c>
      <c r="H784">
        <v>55</v>
      </c>
      <c r="I784" t="str">
        <f>IF(TBL[[#This Row],[Age]]&gt;=60, "Old", IF(TBL[[#This Row],[Age]]&gt;=30, "Adult", "Young"))</f>
        <v>Adult</v>
      </c>
      <c r="J784" s="1">
        <v>38107</v>
      </c>
      <c r="K784">
        <f t="shared" si="12"/>
        <v>2004</v>
      </c>
      <c r="L784">
        <f>MONTH(TBL[[#This Row],[Hire Date]])</f>
        <v>4</v>
      </c>
      <c r="M784" s="7">
        <v>40124</v>
      </c>
      <c r="N784" s="8">
        <v>0</v>
      </c>
      <c r="O784" t="s">
        <v>19</v>
      </c>
      <c r="P784" t="s">
        <v>25</v>
      </c>
      <c r="Q784" s="1" t="s">
        <v>21</v>
      </c>
    </row>
    <row r="785" spans="1:17" x14ac:dyDescent="0.35">
      <c r="A785" t="s">
        <v>344</v>
      </c>
      <c r="B785" t="s">
        <v>1645</v>
      </c>
      <c r="C785" t="s">
        <v>59</v>
      </c>
      <c r="D785" t="s">
        <v>31</v>
      </c>
      <c r="E785" t="s">
        <v>36</v>
      </c>
      <c r="F785" t="s">
        <v>28</v>
      </c>
      <c r="G785" t="s">
        <v>24</v>
      </c>
      <c r="H785">
        <v>57</v>
      </c>
      <c r="I785" t="str">
        <f>IF(TBL[[#This Row],[Age]]&gt;=60, "Old", IF(TBL[[#This Row],[Age]]&gt;=30, "Adult", "Young"))</f>
        <v>Adult</v>
      </c>
      <c r="J785" s="1">
        <v>43157</v>
      </c>
      <c r="K785">
        <f t="shared" si="12"/>
        <v>2018</v>
      </c>
      <c r="L785">
        <f>MONTH(TBL[[#This Row],[Hire Date]])</f>
        <v>2</v>
      </c>
      <c r="M785" s="7">
        <v>103183</v>
      </c>
      <c r="N785" s="8">
        <v>0</v>
      </c>
      <c r="O785" t="s">
        <v>19</v>
      </c>
      <c r="P785" t="s">
        <v>25</v>
      </c>
      <c r="Q785" s="1">
        <v>44386</v>
      </c>
    </row>
    <row r="786" spans="1:17" x14ac:dyDescent="0.35">
      <c r="A786" t="s">
        <v>176</v>
      </c>
      <c r="B786" t="s">
        <v>1646</v>
      </c>
      <c r="C786" t="s">
        <v>98</v>
      </c>
      <c r="D786" t="s">
        <v>27</v>
      </c>
      <c r="E786" t="s">
        <v>32</v>
      </c>
      <c r="F786" t="s">
        <v>28</v>
      </c>
      <c r="G786" t="s">
        <v>24</v>
      </c>
      <c r="H786">
        <v>54</v>
      </c>
      <c r="I786" t="str">
        <f>IF(TBL[[#This Row],[Age]]&gt;=60, "Old", IF(TBL[[#This Row],[Age]]&gt;=30, "Adult", "Young"))</f>
        <v>Adult</v>
      </c>
      <c r="J786" s="1">
        <v>35961</v>
      </c>
      <c r="K786">
        <f t="shared" si="12"/>
        <v>1998</v>
      </c>
      <c r="L786">
        <f>MONTH(TBL[[#This Row],[Hire Date]])</f>
        <v>6</v>
      </c>
      <c r="M786" s="7">
        <v>95239</v>
      </c>
      <c r="N786" s="8">
        <v>0</v>
      </c>
      <c r="O786" t="s">
        <v>19</v>
      </c>
      <c r="P786" t="s">
        <v>39</v>
      </c>
      <c r="Q786" s="1" t="s">
        <v>21</v>
      </c>
    </row>
    <row r="787" spans="1:17" x14ac:dyDescent="0.35">
      <c r="A787" t="s">
        <v>1647</v>
      </c>
      <c r="B787" t="s">
        <v>1418</v>
      </c>
      <c r="C787" t="s">
        <v>86</v>
      </c>
      <c r="D787" t="s">
        <v>31</v>
      </c>
      <c r="E787" t="s">
        <v>36</v>
      </c>
      <c r="F787" t="s">
        <v>17</v>
      </c>
      <c r="G787" t="s">
        <v>24</v>
      </c>
      <c r="H787">
        <v>29</v>
      </c>
      <c r="I787" t="str">
        <f>IF(TBL[[#This Row],[Age]]&gt;=60, "Old", IF(TBL[[#This Row],[Age]]&gt;=30, "Adult", "Young"))</f>
        <v>Young</v>
      </c>
      <c r="J787" s="1">
        <v>43778</v>
      </c>
      <c r="K787">
        <f t="shared" si="12"/>
        <v>2019</v>
      </c>
      <c r="L787">
        <f>MONTH(TBL[[#This Row],[Hire Date]])</f>
        <v>11</v>
      </c>
      <c r="M787" s="7">
        <v>75012</v>
      </c>
      <c r="N787" s="8">
        <v>0</v>
      </c>
      <c r="O787" t="s">
        <v>19</v>
      </c>
      <c r="P787" t="s">
        <v>20</v>
      </c>
      <c r="Q787" s="1" t="s">
        <v>21</v>
      </c>
    </row>
    <row r="788" spans="1:17" x14ac:dyDescent="0.35">
      <c r="A788" t="s">
        <v>1648</v>
      </c>
      <c r="B788" t="s">
        <v>1649</v>
      </c>
      <c r="C788" t="s">
        <v>71</v>
      </c>
      <c r="D788" t="s">
        <v>27</v>
      </c>
      <c r="E788" t="s">
        <v>36</v>
      </c>
      <c r="F788" t="s">
        <v>17</v>
      </c>
      <c r="G788" t="s">
        <v>24</v>
      </c>
      <c r="H788">
        <v>33</v>
      </c>
      <c r="I788" t="str">
        <f>IF(TBL[[#This Row],[Age]]&gt;=60, "Old", IF(TBL[[#This Row],[Age]]&gt;=30, "Adult", "Young"))</f>
        <v>Adult</v>
      </c>
      <c r="J788" s="1">
        <v>41819</v>
      </c>
      <c r="K788">
        <f t="shared" si="12"/>
        <v>2014</v>
      </c>
      <c r="L788">
        <f>MONTH(TBL[[#This Row],[Hire Date]])</f>
        <v>6</v>
      </c>
      <c r="M788" s="7">
        <v>96366</v>
      </c>
      <c r="N788" s="8">
        <v>0</v>
      </c>
      <c r="O788" t="s">
        <v>33</v>
      </c>
      <c r="P788" t="s">
        <v>34</v>
      </c>
      <c r="Q788" s="1" t="s">
        <v>21</v>
      </c>
    </row>
    <row r="789" spans="1:17" x14ac:dyDescent="0.35">
      <c r="A789" t="s">
        <v>1650</v>
      </c>
      <c r="B789" t="s">
        <v>1651</v>
      </c>
      <c r="C789" t="s">
        <v>68</v>
      </c>
      <c r="D789" t="s">
        <v>43</v>
      </c>
      <c r="E789" t="s">
        <v>32</v>
      </c>
      <c r="F789" t="s">
        <v>17</v>
      </c>
      <c r="G789" t="s">
        <v>24</v>
      </c>
      <c r="H789">
        <v>39</v>
      </c>
      <c r="I789" t="str">
        <f>IF(TBL[[#This Row],[Age]]&gt;=60, "Old", IF(TBL[[#This Row],[Age]]&gt;=30, "Adult", "Young"))</f>
        <v>Adult</v>
      </c>
      <c r="J789" s="1">
        <v>41849</v>
      </c>
      <c r="K789">
        <f t="shared" si="12"/>
        <v>2014</v>
      </c>
      <c r="L789">
        <f>MONTH(TBL[[#This Row],[Hire Date]])</f>
        <v>7</v>
      </c>
      <c r="M789" s="7">
        <v>40897</v>
      </c>
      <c r="N789" s="8">
        <v>0</v>
      </c>
      <c r="O789" t="s">
        <v>19</v>
      </c>
      <c r="P789" t="s">
        <v>63</v>
      </c>
      <c r="Q789" s="1" t="s">
        <v>21</v>
      </c>
    </row>
    <row r="790" spans="1:17" x14ac:dyDescent="0.35">
      <c r="A790" t="s">
        <v>1652</v>
      </c>
      <c r="B790" t="s">
        <v>130</v>
      </c>
      <c r="C790" t="s">
        <v>62</v>
      </c>
      <c r="D790" t="s">
        <v>15</v>
      </c>
      <c r="E790" t="s">
        <v>16</v>
      </c>
      <c r="F790" t="s">
        <v>17</v>
      </c>
      <c r="G790" t="s">
        <v>24</v>
      </c>
      <c r="H790">
        <v>37</v>
      </c>
      <c r="I790" t="str">
        <f>IF(TBL[[#This Row],[Age]]&gt;=60, "Old", IF(TBL[[#This Row],[Age]]&gt;=30, "Adult", "Young"))</f>
        <v>Adult</v>
      </c>
      <c r="J790" s="1">
        <v>42605</v>
      </c>
      <c r="K790">
        <f t="shared" si="12"/>
        <v>2016</v>
      </c>
      <c r="L790">
        <f>MONTH(TBL[[#This Row],[Hire Date]])</f>
        <v>8</v>
      </c>
      <c r="M790" s="7">
        <v>124928</v>
      </c>
      <c r="N790" s="8">
        <v>0.06</v>
      </c>
      <c r="O790" t="s">
        <v>33</v>
      </c>
      <c r="P790" t="s">
        <v>80</v>
      </c>
      <c r="Q790" s="1" t="s">
        <v>21</v>
      </c>
    </row>
    <row r="791" spans="1:17" x14ac:dyDescent="0.35">
      <c r="A791" t="s">
        <v>1653</v>
      </c>
      <c r="B791" t="s">
        <v>1654</v>
      </c>
      <c r="C791" t="s">
        <v>62</v>
      </c>
      <c r="D791" t="s">
        <v>15</v>
      </c>
      <c r="E791" t="s">
        <v>44</v>
      </c>
      <c r="F791" t="s">
        <v>17</v>
      </c>
      <c r="G791" t="s">
        <v>51</v>
      </c>
      <c r="H791">
        <v>51</v>
      </c>
      <c r="I791" t="str">
        <f>IF(TBL[[#This Row],[Age]]&gt;=60, "Old", IF(TBL[[#This Row],[Age]]&gt;=30, "Adult", "Young"))</f>
        <v>Adult</v>
      </c>
      <c r="J791" s="1">
        <v>41439</v>
      </c>
      <c r="K791">
        <f t="shared" si="12"/>
        <v>2013</v>
      </c>
      <c r="L791">
        <f>MONTH(TBL[[#This Row],[Hire Date]])</f>
        <v>6</v>
      </c>
      <c r="M791" s="7">
        <v>108221</v>
      </c>
      <c r="N791" s="8">
        <v>0.05</v>
      </c>
      <c r="O791" t="s">
        <v>52</v>
      </c>
      <c r="P791" t="s">
        <v>81</v>
      </c>
      <c r="Q791" s="1" t="s">
        <v>21</v>
      </c>
    </row>
    <row r="792" spans="1:17" x14ac:dyDescent="0.35">
      <c r="A792" t="s">
        <v>754</v>
      </c>
      <c r="B792" t="s">
        <v>1655</v>
      </c>
      <c r="C792" t="s">
        <v>77</v>
      </c>
      <c r="D792" t="s">
        <v>23</v>
      </c>
      <c r="E792" t="s">
        <v>32</v>
      </c>
      <c r="F792" t="s">
        <v>28</v>
      </c>
      <c r="G792" t="s">
        <v>18</v>
      </c>
      <c r="H792">
        <v>46</v>
      </c>
      <c r="I792" t="str">
        <f>IF(TBL[[#This Row],[Age]]&gt;=60, "Old", IF(TBL[[#This Row],[Age]]&gt;=30, "Adult", "Young"))</f>
        <v>Adult</v>
      </c>
      <c r="J792" s="1">
        <v>39133</v>
      </c>
      <c r="K792">
        <f t="shared" si="12"/>
        <v>2007</v>
      </c>
      <c r="L792">
        <f>MONTH(TBL[[#This Row],[Hire Date]])</f>
        <v>2</v>
      </c>
      <c r="M792" s="7">
        <v>75579</v>
      </c>
      <c r="N792" s="8">
        <v>0</v>
      </c>
      <c r="O792" t="s">
        <v>19</v>
      </c>
      <c r="P792" t="s">
        <v>63</v>
      </c>
      <c r="Q792" s="1" t="s">
        <v>21</v>
      </c>
    </row>
    <row r="793" spans="1:17" x14ac:dyDescent="0.35">
      <c r="A793" t="s">
        <v>1656</v>
      </c>
      <c r="B793" t="s">
        <v>1657</v>
      </c>
      <c r="C793" t="s">
        <v>61</v>
      </c>
      <c r="D793" t="s">
        <v>23</v>
      </c>
      <c r="E793" t="s">
        <v>36</v>
      </c>
      <c r="F793" t="s">
        <v>28</v>
      </c>
      <c r="G793" t="s">
        <v>51</v>
      </c>
      <c r="H793">
        <v>41</v>
      </c>
      <c r="I793" t="str">
        <f>IF(TBL[[#This Row],[Age]]&gt;=60, "Old", IF(TBL[[#This Row],[Age]]&gt;=30, "Adult", "Young"))</f>
        <v>Adult</v>
      </c>
      <c r="J793" s="1">
        <v>42365</v>
      </c>
      <c r="K793">
        <f t="shared" si="12"/>
        <v>2015</v>
      </c>
      <c r="L793">
        <f>MONTH(TBL[[#This Row],[Hire Date]])</f>
        <v>12</v>
      </c>
      <c r="M793" s="7">
        <v>129903</v>
      </c>
      <c r="N793" s="8">
        <v>0.13</v>
      </c>
      <c r="O793" t="s">
        <v>52</v>
      </c>
      <c r="P793" t="s">
        <v>53</v>
      </c>
      <c r="Q793" s="1" t="s">
        <v>21</v>
      </c>
    </row>
    <row r="794" spans="1:17" x14ac:dyDescent="0.35">
      <c r="A794" t="s">
        <v>266</v>
      </c>
      <c r="B794" t="s">
        <v>1658</v>
      </c>
      <c r="C794" t="s">
        <v>40</v>
      </c>
      <c r="D794" t="s">
        <v>15</v>
      </c>
      <c r="E794" t="s">
        <v>16</v>
      </c>
      <c r="F794" t="s">
        <v>17</v>
      </c>
      <c r="G794" t="s">
        <v>24</v>
      </c>
      <c r="H794">
        <v>25</v>
      </c>
      <c r="I794" t="str">
        <f>IF(TBL[[#This Row],[Age]]&gt;=60, "Old", IF(TBL[[#This Row],[Age]]&gt;=30, "Adult", "Young"))</f>
        <v>Young</v>
      </c>
      <c r="J794" s="1">
        <v>44303</v>
      </c>
      <c r="K794">
        <f t="shared" si="12"/>
        <v>2021</v>
      </c>
      <c r="L794">
        <f>MONTH(TBL[[#This Row],[Hire Date]])</f>
        <v>4</v>
      </c>
      <c r="M794" s="7">
        <v>186870</v>
      </c>
      <c r="N794" s="8">
        <v>0.2</v>
      </c>
      <c r="O794" t="s">
        <v>33</v>
      </c>
      <c r="P794" t="s">
        <v>74</v>
      </c>
      <c r="Q794" s="1" t="s">
        <v>21</v>
      </c>
    </row>
    <row r="795" spans="1:17" x14ac:dyDescent="0.35">
      <c r="A795" t="s">
        <v>1659</v>
      </c>
      <c r="B795" t="s">
        <v>1660</v>
      </c>
      <c r="C795" t="s">
        <v>64</v>
      </c>
      <c r="D795" t="s">
        <v>50</v>
      </c>
      <c r="E795" t="s">
        <v>16</v>
      </c>
      <c r="F795" t="s">
        <v>28</v>
      </c>
      <c r="G795" t="s">
        <v>18</v>
      </c>
      <c r="H795">
        <v>37</v>
      </c>
      <c r="I795" t="str">
        <f>IF(TBL[[#This Row],[Age]]&gt;=60, "Old", IF(TBL[[#This Row],[Age]]&gt;=30, "Adult", "Young"))</f>
        <v>Adult</v>
      </c>
      <c r="J795" s="1">
        <v>40291</v>
      </c>
      <c r="K795">
        <f t="shared" si="12"/>
        <v>2010</v>
      </c>
      <c r="L795">
        <f>MONTH(TBL[[#This Row],[Hire Date]])</f>
        <v>4</v>
      </c>
      <c r="M795" s="7">
        <v>57531</v>
      </c>
      <c r="N795" s="8">
        <v>0</v>
      </c>
      <c r="O795" t="s">
        <v>19</v>
      </c>
      <c r="P795" t="s">
        <v>20</v>
      </c>
      <c r="Q795" s="1" t="s">
        <v>21</v>
      </c>
    </row>
    <row r="796" spans="1:17" x14ac:dyDescent="0.35">
      <c r="A796" t="s">
        <v>1661</v>
      </c>
      <c r="B796" t="s">
        <v>1662</v>
      </c>
      <c r="C796" t="s">
        <v>68</v>
      </c>
      <c r="D796" t="s">
        <v>15</v>
      </c>
      <c r="E796" t="s">
        <v>16</v>
      </c>
      <c r="F796" t="s">
        <v>28</v>
      </c>
      <c r="G796" t="s">
        <v>24</v>
      </c>
      <c r="H796">
        <v>46</v>
      </c>
      <c r="I796" t="str">
        <f>IF(TBL[[#This Row],[Age]]&gt;=60, "Old", IF(TBL[[#This Row],[Age]]&gt;=30, "Adult", "Young"))</f>
        <v>Adult</v>
      </c>
      <c r="J796" s="1">
        <v>40657</v>
      </c>
      <c r="K796">
        <f t="shared" si="12"/>
        <v>2011</v>
      </c>
      <c r="L796">
        <f>MONTH(TBL[[#This Row],[Hire Date]])</f>
        <v>4</v>
      </c>
      <c r="M796" s="7">
        <v>55894</v>
      </c>
      <c r="N796" s="8">
        <v>0</v>
      </c>
      <c r="O796" t="s">
        <v>19</v>
      </c>
      <c r="P796" t="s">
        <v>63</v>
      </c>
      <c r="Q796" s="1" t="s">
        <v>21</v>
      </c>
    </row>
    <row r="797" spans="1:17" x14ac:dyDescent="0.35">
      <c r="A797" t="s">
        <v>1663</v>
      </c>
      <c r="B797" t="s">
        <v>1664</v>
      </c>
      <c r="C797" t="s">
        <v>129</v>
      </c>
      <c r="D797" t="s">
        <v>31</v>
      </c>
      <c r="E797" t="s">
        <v>36</v>
      </c>
      <c r="F797" t="s">
        <v>17</v>
      </c>
      <c r="G797" t="s">
        <v>24</v>
      </c>
      <c r="H797">
        <v>42</v>
      </c>
      <c r="I797" t="str">
        <f>IF(TBL[[#This Row],[Age]]&gt;=60, "Old", IF(TBL[[#This Row],[Age]]&gt;=30, "Adult", "Young"))</f>
        <v>Adult</v>
      </c>
      <c r="J797" s="1">
        <v>41026</v>
      </c>
      <c r="K797">
        <f t="shared" si="12"/>
        <v>2012</v>
      </c>
      <c r="L797">
        <f>MONTH(TBL[[#This Row],[Hire Date]])</f>
        <v>4</v>
      </c>
      <c r="M797" s="7">
        <v>72903</v>
      </c>
      <c r="N797" s="8">
        <v>0</v>
      </c>
      <c r="O797" t="s">
        <v>19</v>
      </c>
      <c r="P797" t="s">
        <v>39</v>
      </c>
      <c r="Q797" s="1" t="s">
        <v>21</v>
      </c>
    </row>
    <row r="798" spans="1:17" x14ac:dyDescent="0.35">
      <c r="A798" t="s">
        <v>729</v>
      </c>
      <c r="B798" t="s">
        <v>1665</v>
      </c>
      <c r="C798" t="s">
        <v>68</v>
      </c>
      <c r="D798" t="s">
        <v>15</v>
      </c>
      <c r="E798" t="s">
        <v>32</v>
      </c>
      <c r="F798" t="s">
        <v>28</v>
      </c>
      <c r="G798" t="s">
        <v>24</v>
      </c>
      <c r="H798">
        <v>37</v>
      </c>
      <c r="I798" t="str">
        <f>IF(TBL[[#This Row],[Age]]&gt;=60, "Old", IF(TBL[[#This Row],[Age]]&gt;=30, "Adult", "Young"))</f>
        <v>Adult</v>
      </c>
      <c r="J798" s="1">
        <v>42317</v>
      </c>
      <c r="K798">
        <f t="shared" si="12"/>
        <v>2015</v>
      </c>
      <c r="L798">
        <f>MONTH(TBL[[#This Row],[Hire Date]])</f>
        <v>11</v>
      </c>
      <c r="M798" s="7">
        <v>45369</v>
      </c>
      <c r="N798" s="8">
        <v>0</v>
      </c>
      <c r="O798" t="s">
        <v>33</v>
      </c>
      <c r="P798" t="s">
        <v>60</v>
      </c>
      <c r="Q798" s="1" t="s">
        <v>21</v>
      </c>
    </row>
    <row r="799" spans="1:17" x14ac:dyDescent="0.35">
      <c r="A799" t="s">
        <v>153</v>
      </c>
      <c r="B799" t="s">
        <v>1666</v>
      </c>
      <c r="C799" t="s">
        <v>62</v>
      </c>
      <c r="D799" t="s">
        <v>15</v>
      </c>
      <c r="E799" t="s">
        <v>44</v>
      </c>
      <c r="F799" t="s">
        <v>28</v>
      </c>
      <c r="G799" t="s">
        <v>18</v>
      </c>
      <c r="H799">
        <v>60</v>
      </c>
      <c r="I799" t="str">
        <f>IF(TBL[[#This Row],[Age]]&gt;=60, "Old", IF(TBL[[#This Row],[Age]]&gt;=30, "Adult", "Young"))</f>
        <v>Old</v>
      </c>
      <c r="J799" s="1">
        <v>40344</v>
      </c>
      <c r="K799">
        <f t="shared" si="12"/>
        <v>2010</v>
      </c>
      <c r="L799">
        <f>MONTH(TBL[[#This Row],[Hire Date]])</f>
        <v>6</v>
      </c>
      <c r="M799" s="7">
        <v>106578</v>
      </c>
      <c r="N799" s="8">
        <v>0.09</v>
      </c>
      <c r="O799" t="s">
        <v>19</v>
      </c>
      <c r="P799" t="s">
        <v>45</v>
      </c>
      <c r="Q799" s="1" t="s">
        <v>21</v>
      </c>
    </row>
    <row r="800" spans="1:17" x14ac:dyDescent="0.35">
      <c r="A800" t="s">
        <v>125</v>
      </c>
      <c r="B800" t="s">
        <v>1667</v>
      </c>
      <c r="C800" t="s">
        <v>77</v>
      </c>
      <c r="D800" t="s">
        <v>23</v>
      </c>
      <c r="E800" t="s">
        <v>16</v>
      </c>
      <c r="F800" t="s">
        <v>17</v>
      </c>
      <c r="G800" t="s">
        <v>51</v>
      </c>
      <c r="H800">
        <v>52</v>
      </c>
      <c r="I800" t="str">
        <f>IF(TBL[[#This Row],[Age]]&gt;=60, "Old", IF(TBL[[#This Row],[Age]]&gt;=30, "Adult", "Young"))</f>
        <v>Adult</v>
      </c>
      <c r="J800" s="1">
        <v>36416</v>
      </c>
      <c r="K800">
        <f t="shared" si="12"/>
        <v>1999</v>
      </c>
      <c r="L800">
        <f>MONTH(TBL[[#This Row],[Hire Date]])</f>
        <v>9</v>
      </c>
      <c r="M800" s="7">
        <v>92994</v>
      </c>
      <c r="N800" s="8">
        <v>0</v>
      </c>
      <c r="O800" t="s">
        <v>19</v>
      </c>
      <c r="P800" t="s">
        <v>20</v>
      </c>
      <c r="Q800" s="1" t="s">
        <v>21</v>
      </c>
    </row>
    <row r="801" spans="1:17" x14ac:dyDescent="0.35">
      <c r="A801" t="s">
        <v>1668</v>
      </c>
      <c r="B801" t="s">
        <v>1669</v>
      </c>
      <c r="C801" t="s">
        <v>42</v>
      </c>
      <c r="D801" t="s">
        <v>50</v>
      </c>
      <c r="E801" t="s">
        <v>44</v>
      </c>
      <c r="F801" t="s">
        <v>28</v>
      </c>
      <c r="G801" t="s">
        <v>24</v>
      </c>
      <c r="H801">
        <v>59</v>
      </c>
      <c r="I801" t="str">
        <f>IF(TBL[[#This Row],[Age]]&gt;=60, "Old", IF(TBL[[#This Row],[Age]]&gt;=30, "Adult", "Young"))</f>
        <v>Adult</v>
      </c>
      <c r="J801" s="1">
        <v>35502</v>
      </c>
      <c r="K801">
        <f t="shared" si="12"/>
        <v>1997</v>
      </c>
      <c r="L801">
        <f>MONTH(TBL[[#This Row],[Hire Date]])</f>
        <v>3</v>
      </c>
      <c r="M801" s="7">
        <v>83685</v>
      </c>
      <c r="N801" s="8">
        <v>0</v>
      </c>
      <c r="O801" t="s">
        <v>33</v>
      </c>
      <c r="P801" t="s">
        <v>60</v>
      </c>
      <c r="Q801" s="1" t="s">
        <v>21</v>
      </c>
    </row>
    <row r="802" spans="1:17" x14ac:dyDescent="0.35">
      <c r="A802" t="s">
        <v>594</v>
      </c>
      <c r="B802" t="s">
        <v>1670</v>
      </c>
      <c r="C802" t="s">
        <v>38</v>
      </c>
      <c r="D802" t="s">
        <v>27</v>
      </c>
      <c r="E802" t="s">
        <v>16</v>
      </c>
      <c r="F802" t="s">
        <v>28</v>
      </c>
      <c r="G802" t="s">
        <v>18</v>
      </c>
      <c r="H802">
        <v>48</v>
      </c>
      <c r="I802" t="str">
        <f>IF(TBL[[#This Row],[Age]]&gt;=60, "Old", IF(TBL[[#This Row],[Age]]&gt;=30, "Adult", "Young"))</f>
        <v>Adult</v>
      </c>
      <c r="J802" s="1">
        <v>40435</v>
      </c>
      <c r="K802">
        <f t="shared" si="12"/>
        <v>2010</v>
      </c>
      <c r="L802">
        <f>MONTH(TBL[[#This Row],[Hire Date]])</f>
        <v>9</v>
      </c>
      <c r="M802" s="7">
        <v>99335</v>
      </c>
      <c r="N802" s="8">
        <v>0</v>
      </c>
      <c r="O802" t="s">
        <v>19</v>
      </c>
      <c r="P802" t="s">
        <v>39</v>
      </c>
      <c r="Q802" s="1" t="s">
        <v>21</v>
      </c>
    </row>
    <row r="803" spans="1:17" x14ac:dyDescent="0.35">
      <c r="A803" t="s">
        <v>1671</v>
      </c>
      <c r="B803" t="s">
        <v>1672</v>
      </c>
      <c r="C803" t="s">
        <v>61</v>
      </c>
      <c r="D803" t="s">
        <v>23</v>
      </c>
      <c r="E803" t="s">
        <v>36</v>
      </c>
      <c r="F803" t="s">
        <v>28</v>
      </c>
      <c r="G803" t="s">
        <v>18</v>
      </c>
      <c r="H803">
        <v>42</v>
      </c>
      <c r="I803" t="str">
        <f>IF(TBL[[#This Row],[Age]]&gt;=60, "Old", IF(TBL[[#This Row],[Age]]&gt;=30, "Adult", "Young"))</f>
        <v>Adult</v>
      </c>
      <c r="J803" s="1">
        <v>41382</v>
      </c>
      <c r="K803">
        <f t="shared" si="12"/>
        <v>2013</v>
      </c>
      <c r="L803">
        <f>MONTH(TBL[[#This Row],[Hire Date]])</f>
        <v>4</v>
      </c>
      <c r="M803" s="7">
        <v>131179</v>
      </c>
      <c r="N803" s="8">
        <v>0.15</v>
      </c>
      <c r="O803" t="s">
        <v>19</v>
      </c>
      <c r="P803" t="s">
        <v>29</v>
      </c>
      <c r="Q803" s="1" t="s">
        <v>21</v>
      </c>
    </row>
    <row r="804" spans="1:17" x14ac:dyDescent="0.35">
      <c r="A804" t="s">
        <v>1673</v>
      </c>
      <c r="B804" t="s">
        <v>1674</v>
      </c>
      <c r="C804" t="s">
        <v>56</v>
      </c>
      <c r="D804" t="s">
        <v>27</v>
      </c>
      <c r="E804" t="s">
        <v>44</v>
      </c>
      <c r="F804" t="s">
        <v>28</v>
      </c>
      <c r="G804" t="s">
        <v>24</v>
      </c>
      <c r="H804">
        <v>35</v>
      </c>
      <c r="I804" t="str">
        <f>IF(TBL[[#This Row],[Age]]&gt;=60, "Old", IF(TBL[[#This Row],[Age]]&gt;=30, "Adult", "Young"))</f>
        <v>Adult</v>
      </c>
      <c r="J804" s="1">
        <v>42493</v>
      </c>
      <c r="K804">
        <f t="shared" si="12"/>
        <v>2016</v>
      </c>
      <c r="L804">
        <f>MONTH(TBL[[#This Row],[Hire Date]])</f>
        <v>5</v>
      </c>
      <c r="M804" s="7">
        <v>73899</v>
      </c>
      <c r="N804" s="8">
        <v>0.05</v>
      </c>
      <c r="O804" t="s">
        <v>33</v>
      </c>
      <c r="P804" t="s">
        <v>34</v>
      </c>
      <c r="Q804" s="1" t="s">
        <v>21</v>
      </c>
    </row>
    <row r="805" spans="1:17" x14ac:dyDescent="0.35">
      <c r="A805" t="s">
        <v>1675</v>
      </c>
      <c r="B805" t="s">
        <v>1676</v>
      </c>
      <c r="C805" t="s">
        <v>14</v>
      </c>
      <c r="D805" t="s">
        <v>65</v>
      </c>
      <c r="E805" t="s">
        <v>36</v>
      </c>
      <c r="F805" t="s">
        <v>28</v>
      </c>
      <c r="G805" t="s">
        <v>24</v>
      </c>
      <c r="H805">
        <v>64</v>
      </c>
      <c r="I805" t="str">
        <f>IF(TBL[[#This Row],[Age]]&gt;=60, "Old", IF(TBL[[#This Row],[Age]]&gt;=30, "Adult", "Young"))</f>
        <v>Old</v>
      </c>
      <c r="J805" s="1">
        <v>41362</v>
      </c>
      <c r="K805">
        <f t="shared" si="12"/>
        <v>2013</v>
      </c>
      <c r="L805">
        <f>MONTH(TBL[[#This Row],[Hire Date]])</f>
        <v>3</v>
      </c>
      <c r="M805" s="7">
        <v>252325</v>
      </c>
      <c r="N805" s="8">
        <v>0.4</v>
      </c>
      <c r="O805" t="s">
        <v>19</v>
      </c>
      <c r="P805" t="s">
        <v>29</v>
      </c>
      <c r="Q805" s="1" t="s">
        <v>21</v>
      </c>
    </row>
    <row r="806" spans="1:17" x14ac:dyDescent="0.35">
      <c r="A806" t="s">
        <v>290</v>
      </c>
      <c r="B806" t="s">
        <v>1677</v>
      </c>
      <c r="C806" t="s">
        <v>64</v>
      </c>
      <c r="D806" t="s">
        <v>15</v>
      </c>
      <c r="E806" t="s">
        <v>16</v>
      </c>
      <c r="F806" t="s">
        <v>17</v>
      </c>
      <c r="G806" t="s">
        <v>18</v>
      </c>
      <c r="H806">
        <v>30</v>
      </c>
      <c r="I806" t="str">
        <f>IF(TBL[[#This Row],[Age]]&gt;=60, "Old", IF(TBL[[#This Row],[Age]]&gt;=30, "Adult", "Young"))</f>
        <v>Adult</v>
      </c>
      <c r="J806" s="1">
        <v>42068</v>
      </c>
      <c r="K806">
        <f t="shared" si="12"/>
        <v>2015</v>
      </c>
      <c r="L806">
        <f>MONTH(TBL[[#This Row],[Hire Date]])</f>
        <v>3</v>
      </c>
      <c r="M806" s="7">
        <v>52697</v>
      </c>
      <c r="N806" s="8">
        <v>0</v>
      </c>
      <c r="O806" t="s">
        <v>19</v>
      </c>
      <c r="P806" t="s">
        <v>63</v>
      </c>
      <c r="Q806" s="1" t="s">
        <v>21</v>
      </c>
    </row>
    <row r="807" spans="1:17" x14ac:dyDescent="0.35">
      <c r="A807" t="s">
        <v>1611</v>
      </c>
      <c r="B807" t="s">
        <v>1678</v>
      </c>
      <c r="C807" t="s">
        <v>69</v>
      </c>
      <c r="D807" t="s">
        <v>31</v>
      </c>
      <c r="E807" t="s">
        <v>44</v>
      </c>
      <c r="F807" t="s">
        <v>17</v>
      </c>
      <c r="G807" t="s">
        <v>51</v>
      </c>
      <c r="H807">
        <v>29</v>
      </c>
      <c r="I807" t="str">
        <f>IF(TBL[[#This Row],[Age]]&gt;=60, "Old", IF(TBL[[#This Row],[Age]]&gt;=30, "Adult", "Young"))</f>
        <v>Young</v>
      </c>
      <c r="J807" s="1">
        <v>44099</v>
      </c>
      <c r="K807">
        <f t="shared" si="12"/>
        <v>2020</v>
      </c>
      <c r="L807">
        <f>MONTH(TBL[[#This Row],[Hire Date]])</f>
        <v>9</v>
      </c>
      <c r="M807" s="7">
        <v>123588</v>
      </c>
      <c r="N807" s="8">
        <v>0</v>
      </c>
      <c r="O807" t="s">
        <v>52</v>
      </c>
      <c r="P807" t="s">
        <v>53</v>
      </c>
      <c r="Q807" s="1" t="s">
        <v>21</v>
      </c>
    </row>
    <row r="808" spans="1:17" x14ac:dyDescent="0.35">
      <c r="A808" t="s">
        <v>1679</v>
      </c>
      <c r="B808" t="s">
        <v>1680</v>
      </c>
      <c r="C808" t="s">
        <v>14</v>
      </c>
      <c r="D808" t="s">
        <v>65</v>
      </c>
      <c r="E808" t="s">
        <v>32</v>
      </c>
      <c r="F808" t="s">
        <v>17</v>
      </c>
      <c r="G808" t="s">
        <v>24</v>
      </c>
      <c r="H808">
        <v>47</v>
      </c>
      <c r="I808" t="str">
        <f>IF(TBL[[#This Row],[Age]]&gt;=60, "Old", IF(TBL[[#This Row],[Age]]&gt;=30, "Adult", "Young"))</f>
        <v>Adult</v>
      </c>
      <c r="J808" s="1">
        <v>44556</v>
      </c>
      <c r="K808">
        <f t="shared" si="12"/>
        <v>2021</v>
      </c>
      <c r="L808">
        <f>MONTH(TBL[[#This Row],[Hire Date]])</f>
        <v>12</v>
      </c>
      <c r="M808" s="7">
        <v>243568</v>
      </c>
      <c r="N808" s="8">
        <v>0.33</v>
      </c>
      <c r="O808" t="s">
        <v>19</v>
      </c>
      <c r="P808" t="s">
        <v>25</v>
      </c>
      <c r="Q808" s="1" t="s">
        <v>21</v>
      </c>
    </row>
    <row r="809" spans="1:17" x14ac:dyDescent="0.35">
      <c r="A809" t="s">
        <v>1340</v>
      </c>
      <c r="B809" t="s">
        <v>1681</v>
      </c>
      <c r="C809" t="s">
        <v>40</v>
      </c>
      <c r="D809" t="s">
        <v>50</v>
      </c>
      <c r="E809" t="s">
        <v>16</v>
      </c>
      <c r="F809" t="s">
        <v>28</v>
      </c>
      <c r="G809" t="s">
        <v>24</v>
      </c>
      <c r="H809">
        <v>49</v>
      </c>
      <c r="I809" t="str">
        <f>IF(TBL[[#This Row],[Age]]&gt;=60, "Old", IF(TBL[[#This Row],[Age]]&gt;=30, "Adult", "Young"))</f>
        <v>Adult</v>
      </c>
      <c r="J809" s="1">
        <v>37092</v>
      </c>
      <c r="K809">
        <f t="shared" si="12"/>
        <v>2001</v>
      </c>
      <c r="L809">
        <f>MONTH(TBL[[#This Row],[Hire Date]])</f>
        <v>7</v>
      </c>
      <c r="M809" s="7">
        <v>199176</v>
      </c>
      <c r="N809" s="8">
        <v>0.24</v>
      </c>
      <c r="O809" t="s">
        <v>19</v>
      </c>
      <c r="P809" t="s">
        <v>39</v>
      </c>
      <c r="Q809" s="1" t="s">
        <v>21</v>
      </c>
    </row>
    <row r="810" spans="1:17" x14ac:dyDescent="0.35">
      <c r="A810" t="s">
        <v>483</v>
      </c>
      <c r="B810" t="s">
        <v>1682</v>
      </c>
      <c r="C810" t="s">
        <v>55</v>
      </c>
      <c r="D810" t="s">
        <v>27</v>
      </c>
      <c r="E810" t="s">
        <v>44</v>
      </c>
      <c r="F810" t="s">
        <v>17</v>
      </c>
      <c r="G810" t="s">
        <v>24</v>
      </c>
      <c r="H810">
        <v>56</v>
      </c>
      <c r="I810" t="str">
        <f>IF(TBL[[#This Row],[Age]]&gt;=60, "Old", IF(TBL[[#This Row],[Age]]&gt;=30, "Adult", "Young"))</f>
        <v>Adult</v>
      </c>
      <c r="J810" s="1">
        <v>35238</v>
      </c>
      <c r="K810">
        <f t="shared" si="12"/>
        <v>1996</v>
      </c>
      <c r="L810">
        <f>MONTH(TBL[[#This Row],[Hire Date]])</f>
        <v>6</v>
      </c>
      <c r="M810" s="7">
        <v>82806</v>
      </c>
      <c r="N810" s="8">
        <v>0</v>
      </c>
      <c r="O810" t="s">
        <v>19</v>
      </c>
      <c r="P810" t="s">
        <v>63</v>
      </c>
      <c r="Q810" s="1" t="s">
        <v>21</v>
      </c>
    </row>
    <row r="811" spans="1:17" x14ac:dyDescent="0.35">
      <c r="A811" t="s">
        <v>1683</v>
      </c>
      <c r="B811" t="s">
        <v>1684</v>
      </c>
      <c r="C811" t="s">
        <v>40</v>
      </c>
      <c r="D811" t="s">
        <v>43</v>
      </c>
      <c r="E811" t="s">
        <v>44</v>
      </c>
      <c r="F811" t="s">
        <v>17</v>
      </c>
      <c r="G811" t="s">
        <v>24</v>
      </c>
      <c r="H811">
        <v>53</v>
      </c>
      <c r="I811" t="str">
        <f>IF(TBL[[#This Row],[Age]]&gt;=60, "Old", IF(TBL[[#This Row],[Age]]&gt;=30, "Adult", "Young"))</f>
        <v>Adult</v>
      </c>
      <c r="J811" s="1">
        <v>35601</v>
      </c>
      <c r="K811">
        <f t="shared" si="12"/>
        <v>1997</v>
      </c>
      <c r="L811">
        <f>MONTH(TBL[[#This Row],[Hire Date]])</f>
        <v>6</v>
      </c>
      <c r="M811" s="7">
        <v>164399</v>
      </c>
      <c r="N811" s="8">
        <v>0.25</v>
      </c>
      <c r="O811" t="s">
        <v>19</v>
      </c>
      <c r="P811" t="s">
        <v>63</v>
      </c>
      <c r="Q811" s="1" t="s">
        <v>21</v>
      </c>
    </row>
    <row r="812" spans="1:17" x14ac:dyDescent="0.35">
      <c r="A812" t="s">
        <v>215</v>
      </c>
      <c r="B812" t="s">
        <v>1685</v>
      </c>
      <c r="C812" t="s">
        <v>61</v>
      </c>
      <c r="D812" t="s">
        <v>23</v>
      </c>
      <c r="E812" t="s">
        <v>36</v>
      </c>
      <c r="F812" t="s">
        <v>17</v>
      </c>
      <c r="G812" t="s">
        <v>24</v>
      </c>
      <c r="H812">
        <v>32</v>
      </c>
      <c r="I812" t="str">
        <f>IF(TBL[[#This Row],[Age]]&gt;=60, "Old", IF(TBL[[#This Row],[Age]]&gt;=30, "Adult", "Young"))</f>
        <v>Adult</v>
      </c>
      <c r="J812" s="1">
        <v>42839</v>
      </c>
      <c r="K812">
        <f t="shared" si="12"/>
        <v>2017</v>
      </c>
      <c r="L812">
        <f>MONTH(TBL[[#This Row],[Hire Date]])</f>
        <v>4</v>
      </c>
      <c r="M812" s="7">
        <v>154956</v>
      </c>
      <c r="N812" s="8">
        <v>0.13</v>
      </c>
      <c r="O812" t="s">
        <v>19</v>
      </c>
      <c r="P812" t="s">
        <v>39</v>
      </c>
      <c r="Q812" s="1" t="s">
        <v>21</v>
      </c>
    </row>
    <row r="813" spans="1:17" x14ac:dyDescent="0.35">
      <c r="A813" t="s">
        <v>1686</v>
      </c>
      <c r="B813" t="s">
        <v>1687</v>
      </c>
      <c r="C813" t="s">
        <v>61</v>
      </c>
      <c r="D813" t="s">
        <v>43</v>
      </c>
      <c r="E813" t="s">
        <v>36</v>
      </c>
      <c r="F813" t="s">
        <v>28</v>
      </c>
      <c r="G813" t="s">
        <v>24</v>
      </c>
      <c r="H813">
        <v>32</v>
      </c>
      <c r="I813" t="str">
        <f>IF(TBL[[#This Row],[Age]]&gt;=60, "Old", IF(TBL[[#This Row],[Age]]&gt;=30, "Adult", "Young"))</f>
        <v>Adult</v>
      </c>
      <c r="J813" s="1">
        <v>42764</v>
      </c>
      <c r="K813">
        <f t="shared" si="12"/>
        <v>2017</v>
      </c>
      <c r="L813">
        <f>MONTH(TBL[[#This Row],[Hire Date]])</f>
        <v>1</v>
      </c>
      <c r="M813" s="7">
        <v>143970</v>
      </c>
      <c r="N813" s="8">
        <v>0.12</v>
      </c>
      <c r="O813" t="s">
        <v>19</v>
      </c>
      <c r="P813" t="s">
        <v>63</v>
      </c>
      <c r="Q813" s="1">
        <v>43078</v>
      </c>
    </row>
    <row r="814" spans="1:17" x14ac:dyDescent="0.35">
      <c r="A814" t="s">
        <v>314</v>
      </c>
      <c r="B814" t="s">
        <v>1688</v>
      </c>
      <c r="C814" t="s">
        <v>40</v>
      </c>
      <c r="D814" t="s">
        <v>50</v>
      </c>
      <c r="E814" t="s">
        <v>32</v>
      </c>
      <c r="F814" t="s">
        <v>28</v>
      </c>
      <c r="G814" t="s">
        <v>51</v>
      </c>
      <c r="H814">
        <v>52</v>
      </c>
      <c r="I814" t="str">
        <f>IF(TBL[[#This Row],[Age]]&gt;=60, "Old", IF(TBL[[#This Row],[Age]]&gt;=30, "Adult", "Young"))</f>
        <v>Adult</v>
      </c>
      <c r="J814" s="1">
        <v>44099</v>
      </c>
      <c r="K814">
        <f t="shared" si="12"/>
        <v>2020</v>
      </c>
      <c r="L814">
        <f>MONTH(TBL[[#This Row],[Hire Date]])</f>
        <v>9</v>
      </c>
      <c r="M814" s="7">
        <v>163143</v>
      </c>
      <c r="N814" s="8">
        <v>0.28000000000000003</v>
      </c>
      <c r="O814" t="s">
        <v>52</v>
      </c>
      <c r="P814" t="s">
        <v>53</v>
      </c>
      <c r="Q814" s="1" t="s">
        <v>21</v>
      </c>
    </row>
    <row r="815" spans="1:17" x14ac:dyDescent="0.35">
      <c r="A815" t="s">
        <v>1689</v>
      </c>
      <c r="B815" t="s">
        <v>1690</v>
      </c>
      <c r="C815" t="s">
        <v>42</v>
      </c>
      <c r="D815" t="s">
        <v>65</v>
      </c>
      <c r="E815" t="s">
        <v>44</v>
      </c>
      <c r="F815" t="s">
        <v>17</v>
      </c>
      <c r="G815" t="s">
        <v>18</v>
      </c>
      <c r="H815">
        <v>38</v>
      </c>
      <c r="I815" t="str">
        <f>IF(TBL[[#This Row],[Age]]&gt;=60, "Old", IF(TBL[[#This Row],[Age]]&gt;=30, "Adult", "Young"))</f>
        <v>Adult</v>
      </c>
      <c r="J815" s="1">
        <v>44036</v>
      </c>
      <c r="K815">
        <f t="shared" si="12"/>
        <v>2020</v>
      </c>
      <c r="L815">
        <f>MONTH(TBL[[#This Row],[Hire Date]])</f>
        <v>7</v>
      </c>
      <c r="M815" s="7">
        <v>89390</v>
      </c>
      <c r="N815" s="8">
        <v>0</v>
      </c>
      <c r="O815" t="s">
        <v>19</v>
      </c>
      <c r="P815" t="s">
        <v>63</v>
      </c>
      <c r="Q815" s="1" t="s">
        <v>21</v>
      </c>
    </row>
    <row r="816" spans="1:17" x14ac:dyDescent="0.35">
      <c r="A816" t="s">
        <v>1691</v>
      </c>
      <c r="B816" t="s">
        <v>1692</v>
      </c>
      <c r="C816" t="s">
        <v>71</v>
      </c>
      <c r="D816" t="s">
        <v>27</v>
      </c>
      <c r="E816" t="s">
        <v>36</v>
      </c>
      <c r="F816" t="s">
        <v>28</v>
      </c>
      <c r="G816" t="s">
        <v>18</v>
      </c>
      <c r="H816">
        <v>41</v>
      </c>
      <c r="I816" t="str">
        <f>IF(TBL[[#This Row],[Age]]&gt;=60, "Old", IF(TBL[[#This Row],[Age]]&gt;=30, "Adult", "Young"))</f>
        <v>Adult</v>
      </c>
      <c r="J816" s="1">
        <v>43013</v>
      </c>
      <c r="K816">
        <f t="shared" si="12"/>
        <v>2017</v>
      </c>
      <c r="L816">
        <f>MONTH(TBL[[#This Row],[Hire Date]])</f>
        <v>10</v>
      </c>
      <c r="M816" s="7">
        <v>67468</v>
      </c>
      <c r="N816" s="8">
        <v>0</v>
      </c>
      <c r="O816" t="s">
        <v>19</v>
      </c>
      <c r="P816" t="s">
        <v>45</v>
      </c>
      <c r="Q816" s="1" t="s">
        <v>21</v>
      </c>
    </row>
    <row r="817" spans="1:17" x14ac:dyDescent="0.35">
      <c r="A817" t="s">
        <v>1693</v>
      </c>
      <c r="B817" t="s">
        <v>1694</v>
      </c>
      <c r="C817" t="s">
        <v>97</v>
      </c>
      <c r="D817" t="s">
        <v>31</v>
      </c>
      <c r="E817" t="s">
        <v>36</v>
      </c>
      <c r="F817" t="s">
        <v>17</v>
      </c>
      <c r="G817" t="s">
        <v>51</v>
      </c>
      <c r="H817">
        <v>49</v>
      </c>
      <c r="I817" t="str">
        <f>IF(TBL[[#This Row],[Age]]&gt;=60, "Old", IF(TBL[[#This Row],[Age]]&gt;=30, "Adult", "Young"))</f>
        <v>Adult</v>
      </c>
      <c r="J817" s="1">
        <v>42441</v>
      </c>
      <c r="K817">
        <f t="shared" si="12"/>
        <v>2016</v>
      </c>
      <c r="L817">
        <f>MONTH(TBL[[#This Row],[Hire Date]])</f>
        <v>3</v>
      </c>
      <c r="M817" s="7">
        <v>100810</v>
      </c>
      <c r="N817" s="8">
        <v>0.12</v>
      </c>
      <c r="O817" t="s">
        <v>52</v>
      </c>
      <c r="P817" t="s">
        <v>66</v>
      </c>
      <c r="Q817" s="1" t="s">
        <v>21</v>
      </c>
    </row>
    <row r="818" spans="1:17" x14ac:dyDescent="0.35">
      <c r="A818" t="s">
        <v>1695</v>
      </c>
      <c r="B818" t="s">
        <v>1696</v>
      </c>
      <c r="C818" t="s">
        <v>42</v>
      </c>
      <c r="D818" t="s">
        <v>15</v>
      </c>
      <c r="E818" t="s">
        <v>36</v>
      </c>
      <c r="F818" t="s">
        <v>17</v>
      </c>
      <c r="G818" t="s">
        <v>24</v>
      </c>
      <c r="H818">
        <v>35</v>
      </c>
      <c r="I818" t="str">
        <f>IF(TBL[[#This Row],[Age]]&gt;=60, "Old", IF(TBL[[#This Row],[Age]]&gt;=30, "Adult", "Young"))</f>
        <v>Adult</v>
      </c>
      <c r="J818" s="1">
        <v>43542</v>
      </c>
      <c r="K818">
        <f t="shared" si="12"/>
        <v>2019</v>
      </c>
      <c r="L818">
        <f>MONTH(TBL[[#This Row],[Hire Date]])</f>
        <v>3</v>
      </c>
      <c r="M818" s="7">
        <v>74779</v>
      </c>
      <c r="N818" s="8">
        <v>0</v>
      </c>
      <c r="O818" t="s">
        <v>19</v>
      </c>
      <c r="P818" t="s">
        <v>39</v>
      </c>
      <c r="Q818" s="1" t="s">
        <v>21</v>
      </c>
    </row>
    <row r="819" spans="1:17" x14ac:dyDescent="0.35">
      <c r="A819" t="s">
        <v>878</v>
      </c>
      <c r="B819" t="s">
        <v>1697</v>
      </c>
      <c r="C819" t="s">
        <v>35</v>
      </c>
      <c r="D819" t="s">
        <v>27</v>
      </c>
      <c r="E819" t="s">
        <v>32</v>
      </c>
      <c r="F819" t="s">
        <v>17</v>
      </c>
      <c r="G819" t="s">
        <v>24</v>
      </c>
      <c r="H819">
        <v>29</v>
      </c>
      <c r="I819" t="str">
        <f>IF(TBL[[#This Row],[Age]]&gt;=60, "Old", IF(TBL[[#This Row],[Age]]&gt;=30, "Adult", "Young"))</f>
        <v>Young</v>
      </c>
      <c r="J819" s="1">
        <v>43048</v>
      </c>
      <c r="K819">
        <f t="shared" si="12"/>
        <v>2017</v>
      </c>
      <c r="L819">
        <f>MONTH(TBL[[#This Row],[Hire Date]])</f>
        <v>11</v>
      </c>
      <c r="M819" s="7">
        <v>63985</v>
      </c>
      <c r="N819" s="8">
        <v>0</v>
      </c>
      <c r="O819" t="s">
        <v>19</v>
      </c>
      <c r="P819" t="s">
        <v>45</v>
      </c>
      <c r="Q819" s="1" t="s">
        <v>21</v>
      </c>
    </row>
    <row r="820" spans="1:17" x14ac:dyDescent="0.35">
      <c r="A820" t="s">
        <v>1698</v>
      </c>
      <c r="B820" t="s">
        <v>1699</v>
      </c>
      <c r="C820" t="s">
        <v>88</v>
      </c>
      <c r="D820" t="s">
        <v>27</v>
      </c>
      <c r="E820" t="s">
        <v>36</v>
      </c>
      <c r="F820" t="s">
        <v>17</v>
      </c>
      <c r="G820" t="s">
        <v>18</v>
      </c>
      <c r="H820">
        <v>64</v>
      </c>
      <c r="I820" t="str">
        <f>IF(TBL[[#This Row],[Age]]&gt;=60, "Old", IF(TBL[[#This Row],[Age]]&gt;=30, "Adult", "Young"))</f>
        <v>Old</v>
      </c>
      <c r="J820" s="1">
        <v>38176</v>
      </c>
      <c r="K820">
        <f t="shared" si="12"/>
        <v>2004</v>
      </c>
      <c r="L820">
        <f>MONTH(TBL[[#This Row],[Hire Date]])</f>
        <v>7</v>
      </c>
      <c r="M820" s="7">
        <v>77903</v>
      </c>
      <c r="N820" s="8">
        <v>0</v>
      </c>
      <c r="O820" t="s">
        <v>19</v>
      </c>
      <c r="P820" t="s">
        <v>63</v>
      </c>
      <c r="Q820" s="1" t="s">
        <v>21</v>
      </c>
    </row>
    <row r="821" spans="1:17" x14ac:dyDescent="0.35">
      <c r="A821" t="s">
        <v>1700</v>
      </c>
      <c r="B821" t="s">
        <v>1701</v>
      </c>
      <c r="C821" t="s">
        <v>40</v>
      </c>
      <c r="D821" t="s">
        <v>43</v>
      </c>
      <c r="E821" t="s">
        <v>32</v>
      </c>
      <c r="F821" t="s">
        <v>28</v>
      </c>
      <c r="G821" t="s">
        <v>18</v>
      </c>
      <c r="H821">
        <v>33</v>
      </c>
      <c r="I821" t="str">
        <f>IF(TBL[[#This Row],[Age]]&gt;=60, "Old", IF(TBL[[#This Row],[Age]]&gt;=30, "Adult", "Young"))</f>
        <v>Adult</v>
      </c>
      <c r="J821" s="1">
        <v>42898</v>
      </c>
      <c r="K821">
        <f t="shared" si="12"/>
        <v>2017</v>
      </c>
      <c r="L821">
        <f>MONTH(TBL[[#This Row],[Hire Date]])</f>
        <v>6</v>
      </c>
      <c r="M821" s="7">
        <v>164396</v>
      </c>
      <c r="N821" s="8">
        <v>0.28999999999999998</v>
      </c>
      <c r="O821" t="s">
        <v>19</v>
      </c>
      <c r="P821" t="s">
        <v>29</v>
      </c>
      <c r="Q821" s="1" t="s">
        <v>21</v>
      </c>
    </row>
    <row r="822" spans="1:17" x14ac:dyDescent="0.35">
      <c r="A822" t="s">
        <v>261</v>
      </c>
      <c r="B822" t="s">
        <v>1702</v>
      </c>
      <c r="C822" t="s">
        <v>91</v>
      </c>
      <c r="D822" t="s">
        <v>27</v>
      </c>
      <c r="E822" t="s">
        <v>32</v>
      </c>
      <c r="F822" t="s">
        <v>28</v>
      </c>
      <c r="G822" t="s">
        <v>24</v>
      </c>
      <c r="H822">
        <v>29</v>
      </c>
      <c r="I822" t="str">
        <f>IF(TBL[[#This Row],[Age]]&gt;=60, "Old", IF(TBL[[#This Row],[Age]]&gt;=30, "Adult", "Young"))</f>
        <v>Young</v>
      </c>
      <c r="J822" s="1">
        <v>44375</v>
      </c>
      <c r="K822">
        <f t="shared" si="12"/>
        <v>2021</v>
      </c>
      <c r="L822">
        <f>MONTH(TBL[[#This Row],[Hire Date]])</f>
        <v>6</v>
      </c>
      <c r="M822" s="7">
        <v>71234</v>
      </c>
      <c r="N822" s="8">
        <v>0</v>
      </c>
      <c r="O822" t="s">
        <v>19</v>
      </c>
      <c r="P822" t="s">
        <v>63</v>
      </c>
      <c r="Q822" s="1" t="s">
        <v>21</v>
      </c>
    </row>
    <row r="823" spans="1:17" x14ac:dyDescent="0.35">
      <c r="A823" t="s">
        <v>200</v>
      </c>
      <c r="B823" t="s">
        <v>1703</v>
      </c>
      <c r="C823" t="s">
        <v>62</v>
      </c>
      <c r="D823" t="s">
        <v>15</v>
      </c>
      <c r="E823" t="s">
        <v>32</v>
      </c>
      <c r="F823" t="s">
        <v>28</v>
      </c>
      <c r="G823" t="s">
        <v>24</v>
      </c>
      <c r="H823">
        <v>63</v>
      </c>
      <c r="I823" t="str">
        <f>IF(TBL[[#This Row],[Age]]&gt;=60, "Old", IF(TBL[[#This Row],[Age]]&gt;=30, "Adult", "Young"))</f>
        <v>Old</v>
      </c>
      <c r="J823" s="1">
        <v>38096</v>
      </c>
      <c r="K823">
        <f t="shared" si="12"/>
        <v>2004</v>
      </c>
      <c r="L823">
        <f>MONTH(TBL[[#This Row],[Hire Date]])</f>
        <v>4</v>
      </c>
      <c r="M823" s="7">
        <v>122487</v>
      </c>
      <c r="N823" s="8">
        <v>0.08</v>
      </c>
      <c r="O823" t="s">
        <v>33</v>
      </c>
      <c r="P823" t="s">
        <v>74</v>
      </c>
      <c r="Q823" s="1" t="s">
        <v>21</v>
      </c>
    </row>
    <row r="824" spans="1:17" x14ac:dyDescent="0.35">
      <c r="A824" t="s">
        <v>1704</v>
      </c>
      <c r="B824" t="s">
        <v>1705</v>
      </c>
      <c r="C824" t="s">
        <v>62</v>
      </c>
      <c r="D824" t="s">
        <v>23</v>
      </c>
      <c r="E824" t="s">
        <v>44</v>
      </c>
      <c r="F824" t="s">
        <v>17</v>
      </c>
      <c r="G824" t="s">
        <v>24</v>
      </c>
      <c r="H824">
        <v>32</v>
      </c>
      <c r="I824" t="str">
        <f>IF(TBL[[#This Row],[Age]]&gt;=60, "Old", IF(TBL[[#This Row],[Age]]&gt;=30, "Adult", "Young"))</f>
        <v>Adult</v>
      </c>
      <c r="J824" s="1">
        <v>42738</v>
      </c>
      <c r="K824">
        <f t="shared" si="12"/>
        <v>2017</v>
      </c>
      <c r="L824">
        <f>MONTH(TBL[[#This Row],[Hire Date]])</f>
        <v>1</v>
      </c>
      <c r="M824" s="7">
        <v>101870</v>
      </c>
      <c r="N824" s="8">
        <v>0.1</v>
      </c>
      <c r="O824" t="s">
        <v>19</v>
      </c>
      <c r="P824" t="s">
        <v>39</v>
      </c>
      <c r="Q824" s="1" t="s">
        <v>21</v>
      </c>
    </row>
    <row r="825" spans="1:17" x14ac:dyDescent="0.35">
      <c r="A825" t="s">
        <v>242</v>
      </c>
      <c r="B825" t="s">
        <v>1706</v>
      </c>
      <c r="C825" t="s">
        <v>76</v>
      </c>
      <c r="D825" t="s">
        <v>27</v>
      </c>
      <c r="E825" t="s">
        <v>16</v>
      </c>
      <c r="F825" t="s">
        <v>28</v>
      </c>
      <c r="G825" t="s">
        <v>51</v>
      </c>
      <c r="H825">
        <v>64</v>
      </c>
      <c r="I825" t="str">
        <f>IF(TBL[[#This Row],[Age]]&gt;=60, "Old", IF(TBL[[#This Row],[Age]]&gt;=30, "Adult", "Young"))</f>
        <v>Old</v>
      </c>
      <c r="J825" s="1">
        <v>44009</v>
      </c>
      <c r="K825">
        <f t="shared" si="12"/>
        <v>2020</v>
      </c>
      <c r="L825">
        <f>MONTH(TBL[[#This Row],[Hire Date]])</f>
        <v>6</v>
      </c>
      <c r="M825" s="7">
        <v>40316</v>
      </c>
      <c r="N825" s="8">
        <v>0</v>
      </c>
      <c r="O825" t="s">
        <v>52</v>
      </c>
      <c r="P825" t="s">
        <v>81</v>
      </c>
      <c r="Q825" s="1" t="s">
        <v>21</v>
      </c>
    </row>
    <row r="826" spans="1:17" x14ac:dyDescent="0.35">
      <c r="A826" t="s">
        <v>223</v>
      </c>
      <c r="B826" t="s">
        <v>1707</v>
      </c>
      <c r="C826" t="s">
        <v>62</v>
      </c>
      <c r="D826" t="s">
        <v>27</v>
      </c>
      <c r="E826" t="s">
        <v>16</v>
      </c>
      <c r="F826" t="s">
        <v>17</v>
      </c>
      <c r="G826" t="s">
        <v>24</v>
      </c>
      <c r="H826">
        <v>55</v>
      </c>
      <c r="I826" t="str">
        <f>IF(TBL[[#This Row],[Age]]&gt;=60, "Old", IF(TBL[[#This Row],[Age]]&gt;=30, "Adult", "Young"))</f>
        <v>Adult</v>
      </c>
      <c r="J826" s="1">
        <v>38391</v>
      </c>
      <c r="K826">
        <f t="shared" si="12"/>
        <v>2005</v>
      </c>
      <c r="L826">
        <f>MONTH(TBL[[#This Row],[Hire Date]])</f>
        <v>2</v>
      </c>
      <c r="M826" s="7">
        <v>115145</v>
      </c>
      <c r="N826" s="8">
        <v>0.05</v>
      </c>
      <c r="O826" t="s">
        <v>33</v>
      </c>
      <c r="P826" t="s">
        <v>80</v>
      </c>
      <c r="Q826" s="1" t="s">
        <v>21</v>
      </c>
    </row>
    <row r="827" spans="1:17" x14ac:dyDescent="0.35">
      <c r="A827" t="s">
        <v>1708</v>
      </c>
      <c r="B827" t="s">
        <v>1709</v>
      </c>
      <c r="C827" t="s">
        <v>38</v>
      </c>
      <c r="D827" t="s">
        <v>27</v>
      </c>
      <c r="E827" t="s">
        <v>36</v>
      </c>
      <c r="F827" t="s">
        <v>17</v>
      </c>
      <c r="G827" t="s">
        <v>51</v>
      </c>
      <c r="H827">
        <v>43</v>
      </c>
      <c r="I827" t="str">
        <f>IF(TBL[[#This Row],[Age]]&gt;=60, "Old", IF(TBL[[#This Row],[Age]]&gt;=30, "Adult", "Young"))</f>
        <v>Adult</v>
      </c>
      <c r="J827" s="1">
        <v>39885</v>
      </c>
      <c r="K827">
        <f t="shared" si="12"/>
        <v>2009</v>
      </c>
      <c r="L827">
        <f>MONTH(TBL[[#This Row],[Hire Date]])</f>
        <v>3</v>
      </c>
      <c r="M827" s="7">
        <v>62335</v>
      </c>
      <c r="N827" s="8">
        <v>0</v>
      </c>
      <c r="O827" t="s">
        <v>52</v>
      </c>
      <c r="P827" t="s">
        <v>81</v>
      </c>
      <c r="Q827" s="1" t="s">
        <v>21</v>
      </c>
    </row>
    <row r="828" spans="1:17" x14ac:dyDescent="0.35">
      <c r="A828" t="s">
        <v>161</v>
      </c>
      <c r="B828" t="s">
        <v>1710</v>
      </c>
      <c r="C828" t="s">
        <v>68</v>
      </c>
      <c r="D828" t="s">
        <v>15</v>
      </c>
      <c r="E828" t="s">
        <v>36</v>
      </c>
      <c r="F828" t="s">
        <v>28</v>
      </c>
      <c r="G828" t="s">
        <v>24</v>
      </c>
      <c r="H828">
        <v>56</v>
      </c>
      <c r="I828" t="str">
        <f>IF(TBL[[#This Row],[Age]]&gt;=60, "Old", IF(TBL[[#This Row],[Age]]&gt;=30, "Adult", "Young"))</f>
        <v>Adult</v>
      </c>
      <c r="J828" s="1">
        <v>38847</v>
      </c>
      <c r="K828">
        <f t="shared" si="12"/>
        <v>2006</v>
      </c>
      <c r="L828">
        <f>MONTH(TBL[[#This Row],[Hire Date]])</f>
        <v>5</v>
      </c>
      <c r="M828" s="7">
        <v>41561</v>
      </c>
      <c r="N828" s="8">
        <v>0</v>
      </c>
      <c r="O828" t="s">
        <v>19</v>
      </c>
      <c r="P828" t="s">
        <v>25</v>
      </c>
      <c r="Q828" s="1" t="s">
        <v>21</v>
      </c>
    </row>
    <row r="829" spans="1:17" x14ac:dyDescent="0.35">
      <c r="A829" t="s">
        <v>1711</v>
      </c>
      <c r="B829" t="s">
        <v>1712</v>
      </c>
      <c r="C829" t="s">
        <v>61</v>
      </c>
      <c r="D829" t="s">
        <v>15</v>
      </c>
      <c r="E829" t="s">
        <v>44</v>
      </c>
      <c r="F829" t="s">
        <v>17</v>
      </c>
      <c r="G829" t="s">
        <v>24</v>
      </c>
      <c r="H829">
        <v>37</v>
      </c>
      <c r="I829" t="str">
        <f>IF(TBL[[#This Row],[Age]]&gt;=60, "Old", IF(TBL[[#This Row],[Age]]&gt;=30, "Adult", "Young"))</f>
        <v>Adult</v>
      </c>
      <c r="J829" s="1">
        <v>40657</v>
      </c>
      <c r="K829">
        <f t="shared" si="12"/>
        <v>2011</v>
      </c>
      <c r="L829">
        <f>MONTH(TBL[[#This Row],[Hire Date]])</f>
        <v>4</v>
      </c>
      <c r="M829" s="7">
        <v>131183</v>
      </c>
      <c r="N829" s="8">
        <v>0.14000000000000001</v>
      </c>
      <c r="O829" t="s">
        <v>33</v>
      </c>
      <c r="P829" t="s">
        <v>74</v>
      </c>
      <c r="Q829" s="1">
        <v>42445</v>
      </c>
    </row>
    <row r="830" spans="1:17" x14ac:dyDescent="0.35">
      <c r="A830" t="s">
        <v>1115</v>
      </c>
      <c r="B830" t="s">
        <v>1713</v>
      </c>
      <c r="C830" t="s">
        <v>55</v>
      </c>
      <c r="D830" t="s">
        <v>27</v>
      </c>
      <c r="E830" t="s">
        <v>36</v>
      </c>
      <c r="F830" t="s">
        <v>17</v>
      </c>
      <c r="G830" t="s">
        <v>24</v>
      </c>
      <c r="H830">
        <v>45</v>
      </c>
      <c r="I830" t="str">
        <f>IF(TBL[[#This Row],[Age]]&gt;=60, "Old", IF(TBL[[#This Row],[Age]]&gt;=30, "Adult", "Young"))</f>
        <v>Adult</v>
      </c>
      <c r="J830" s="1">
        <v>37445</v>
      </c>
      <c r="K830">
        <f t="shared" si="12"/>
        <v>2002</v>
      </c>
      <c r="L830">
        <f>MONTH(TBL[[#This Row],[Hire Date]])</f>
        <v>7</v>
      </c>
      <c r="M830" s="7">
        <v>92655</v>
      </c>
      <c r="N830" s="8">
        <v>0</v>
      </c>
      <c r="O830" t="s">
        <v>33</v>
      </c>
      <c r="P830" t="s">
        <v>34</v>
      </c>
      <c r="Q830" s="1" t="s">
        <v>21</v>
      </c>
    </row>
    <row r="831" spans="1:17" x14ac:dyDescent="0.35">
      <c r="A831" t="s">
        <v>1577</v>
      </c>
      <c r="B831" t="s">
        <v>1714</v>
      </c>
      <c r="C831" t="s">
        <v>61</v>
      </c>
      <c r="D831" t="s">
        <v>50</v>
      </c>
      <c r="E831" t="s">
        <v>36</v>
      </c>
      <c r="F831" t="s">
        <v>17</v>
      </c>
      <c r="G831" t="s">
        <v>51</v>
      </c>
      <c r="H831">
        <v>49</v>
      </c>
      <c r="I831" t="str">
        <f>IF(TBL[[#This Row],[Age]]&gt;=60, "Old", IF(TBL[[#This Row],[Age]]&gt;=30, "Adult", "Young"))</f>
        <v>Adult</v>
      </c>
      <c r="J831" s="1">
        <v>35157</v>
      </c>
      <c r="K831">
        <f t="shared" si="12"/>
        <v>1996</v>
      </c>
      <c r="L831">
        <f>MONTH(TBL[[#This Row],[Hire Date]])</f>
        <v>4</v>
      </c>
      <c r="M831" s="7">
        <v>157057</v>
      </c>
      <c r="N831" s="8">
        <v>0.12</v>
      </c>
      <c r="O831" t="s">
        <v>19</v>
      </c>
      <c r="P831" t="s">
        <v>45</v>
      </c>
      <c r="Q831" s="1" t="s">
        <v>21</v>
      </c>
    </row>
    <row r="832" spans="1:17" x14ac:dyDescent="0.35">
      <c r="A832" t="s">
        <v>335</v>
      </c>
      <c r="B832" t="s">
        <v>1715</v>
      </c>
      <c r="C832" t="s">
        <v>26</v>
      </c>
      <c r="D832" t="s">
        <v>27</v>
      </c>
      <c r="E832" t="s">
        <v>44</v>
      </c>
      <c r="F832" t="s">
        <v>17</v>
      </c>
      <c r="G832" t="s">
        <v>18</v>
      </c>
      <c r="H832">
        <v>61</v>
      </c>
      <c r="I832" t="str">
        <f>IF(TBL[[#This Row],[Age]]&gt;=60, "Old", IF(TBL[[#This Row],[Age]]&gt;=30, "Adult", "Young"))</f>
        <v>Old</v>
      </c>
      <c r="J832" s="1">
        <v>38392</v>
      </c>
      <c r="K832">
        <f t="shared" si="12"/>
        <v>2005</v>
      </c>
      <c r="L832">
        <f>MONTH(TBL[[#This Row],[Hire Date]])</f>
        <v>2</v>
      </c>
      <c r="M832" s="7">
        <v>64462</v>
      </c>
      <c r="N832" s="8">
        <v>0</v>
      </c>
      <c r="O832" t="s">
        <v>19</v>
      </c>
      <c r="P832" t="s">
        <v>20</v>
      </c>
      <c r="Q832" s="1" t="s">
        <v>21</v>
      </c>
    </row>
    <row r="833" spans="1:17" x14ac:dyDescent="0.35">
      <c r="A833" t="s">
        <v>1716</v>
      </c>
      <c r="B833" t="s">
        <v>1717</v>
      </c>
      <c r="C833" t="s">
        <v>30</v>
      </c>
      <c r="D833" t="s">
        <v>31</v>
      </c>
      <c r="E833" t="s">
        <v>32</v>
      </c>
      <c r="F833" t="s">
        <v>17</v>
      </c>
      <c r="G833" t="s">
        <v>18</v>
      </c>
      <c r="H833">
        <v>41</v>
      </c>
      <c r="I833" t="str">
        <f>IF(TBL[[#This Row],[Age]]&gt;=60, "Old", IF(TBL[[#This Row],[Age]]&gt;=30, "Adult", "Young"))</f>
        <v>Adult</v>
      </c>
      <c r="J833" s="1">
        <v>38632</v>
      </c>
      <c r="K833">
        <f t="shared" si="12"/>
        <v>2005</v>
      </c>
      <c r="L833">
        <f>MONTH(TBL[[#This Row],[Hire Date]])</f>
        <v>10</v>
      </c>
      <c r="M833" s="7">
        <v>79352</v>
      </c>
      <c r="N833" s="8">
        <v>0</v>
      </c>
      <c r="O833" t="s">
        <v>19</v>
      </c>
      <c r="P833" t="s">
        <v>63</v>
      </c>
      <c r="Q833" s="1" t="s">
        <v>21</v>
      </c>
    </row>
    <row r="834" spans="1:17" x14ac:dyDescent="0.35">
      <c r="A834" t="s">
        <v>1718</v>
      </c>
      <c r="B834" t="s">
        <v>1719</v>
      </c>
      <c r="C834" t="s">
        <v>61</v>
      </c>
      <c r="D834" t="s">
        <v>43</v>
      </c>
      <c r="E834" t="s">
        <v>44</v>
      </c>
      <c r="F834" t="s">
        <v>17</v>
      </c>
      <c r="G834" t="s">
        <v>18</v>
      </c>
      <c r="H834">
        <v>55</v>
      </c>
      <c r="I834" t="str">
        <f>IF(TBL[[#This Row],[Age]]&gt;=60, "Old", IF(TBL[[#This Row],[Age]]&gt;=30, "Adult", "Young"))</f>
        <v>Adult</v>
      </c>
      <c r="J834" s="1">
        <v>36977</v>
      </c>
      <c r="K834">
        <f t="shared" ref="K834:K897" si="13">YEAR(--J834)</f>
        <v>2001</v>
      </c>
      <c r="L834">
        <f>MONTH(TBL[[#This Row],[Hire Date]])</f>
        <v>3</v>
      </c>
      <c r="M834" s="7">
        <v>157812</v>
      </c>
      <c r="N834" s="8">
        <v>0.11</v>
      </c>
      <c r="O834" t="s">
        <v>19</v>
      </c>
      <c r="P834" t="s">
        <v>45</v>
      </c>
      <c r="Q834" s="1" t="s">
        <v>21</v>
      </c>
    </row>
    <row r="835" spans="1:17" x14ac:dyDescent="0.35">
      <c r="A835" t="s">
        <v>131</v>
      </c>
      <c r="B835" t="s">
        <v>1720</v>
      </c>
      <c r="C835" t="s">
        <v>30</v>
      </c>
      <c r="D835" t="s">
        <v>31</v>
      </c>
      <c r="E835" t="s">
        <v>32</v>
      </c>
      <c r="F835" t="s">
        <v>28</v>
      </c>
      <c r="G835" t="s">
        <v>18</v>
      </c>
      <c r="H835">
        <v>27</v>
      </c>
      <c r="I835" t="str">
        <f>IF(TBL[[#This Row],[Age]]&gt;=60, "Old", IF(TBL[[#This Row],[Age]]&gt;=30, "Adult", "Young"))</f>
        <v>Young</v>
      </c>
      <c r="J835" s="1">
        <v>43354</v>
      </c>
      <c r="K835">
        <f t="shared" si="13"/>
        <v>2018</v>
      </c>
      <c r="L835">
        <f>MONTH(TBL[[#This Row],[Hire Date]])</f>
        <v>9</v>
      </c>
      <c r="M835" s="7">
        <v>80745</v>
      </c>
      <c r="N835" s="8">
        <v>0</v>
      </c>
      <c r="O835" t="s">
        <v>19</v>
      </c>
      <c r="P835" t="s">
        <v>20</v>
      </c>
      <c r="Q835" s="1" t="s">
        <v>21</v>
      </c>
    </row>
    <row r="836" spans="1:17" x14ac:dyDescent="0.35">
      <c r="A836" t="s">
        <v>350</v>
      </c>
      <c r="B836" t="s">
        <v>1721</v>
      </c>
      <c r="C836" t="s">
        <v>98</v>
      </c>
      <c r="D836" t="s">
        <v>27</v>
      </c>
      <c r="E836" t="s">
        <v>36</v>
      </c>
      <c r="F836" t="s">
        <v>17</v>
      </c>
      <c r="G836" t="s">
        <v>18</v>
      </c>
      <c r="H836">
        <v>57</v>
      </c>
      <c r="I836" t="str">
        <f>IF(TBL[[#This Row],[Age]]&gt;=60, "Old", IF(TBL[[#This Row],[Age]]&gt;=30, "Adult", "Young"))</f>
        <v>Adult</v>
      </c>
      <c r="J836" s="1">
        <v>35113</v>
      </c>
      <c r="K836">
        <f t="shared" si="13"/>
        <v>1996</v>
      </c>
      <c r="L836">
        <f>MONTH(TBL[[#This Row],[Hire Date]])</f>
        <v>2</v>
      </c>
      <c r="M836" s="7">
        <v>75354</v>
      </c>
      <c r="N836" s="8">
        <v>0</v>
      </c>
      <c r="O836" t="s">
        <v>19</v>
      </c>
      <c r="P836" t="s">
        <v>25</v>
      </c>
      <c r="Q836" s="1">
        <v>35413</v>
      </c>
    </row>
    <row r="837" spans="1:17" x14ac:dyDescent="0.35">
      <c r="A837" t="s">
        <v>1722</v>
      </c>
      <c r="B837" t="s">
        <v>1723</v>
      </c>
      <c r="C837" t="s">
        <v>97</v>
      </c>
      <c r="D837" t="s">
        <v>31</v>
      </c>
      <c r="E837" t="s">
        <v>16</v>
      </c>
      <c r="F837" t="s">
        <v>28</v>
      </c>
      <c r="G837" t="s">
        <v>51</v>
      </c>
      <c r="H837">
        <v>56</v>
      </c>
      <c r="I837" t="str">
        <f>IF(TBL[[#This Row],[Age]]&gt;=60, "Old", IF(TBL[[#This Row],[Age]]&gt;=30, "Adult", "Young"))</f>
        <v>Adult</v>
      </c>
      <c r="J837" s="1">
        <v>43363</v>
      </c>
      <c r="K837">
        <f t="shared" si="13"/>
        <v>2018</v>
      </c>
      <c r="L837">
        <f>MONTH(TBL[[#This Row],[Hire Date]])</f>
        <v>9</v>
      </c>
      <c r="M837" s="7">
        <v>78938</v>
      </c>
      <c r="N837" s="8">
        <v>0.14000000000000001</v>
      </c>
      <c r="O837" t="s">
        <v>19</v>
      </c>
      <c r="P837" t="s">
        <v>39</v>
      </c>
      <c r="Q837" s="1" t="s">
        <v>21</v>
      </c>
    </row>
    <row r="838" spans="1:17" x14ac:dyDescent="0.35">
      <c r="A838" t="s">
        <v>1724</v>
      </c>
      <c r="B838" t="s">
        <v>1725</v>
      </c>
      <c r="C838" t="s">
        <v>69</v>
      </c>
      <c r="D838" t="s">
        <v>31</v>
      </c>
      <c r="E838" t="s">
        <v>32</v>
      </c>
      <c r="F838" t="s">
        <v>28</v>
      </c>
      <c r="G838" t="s">
        <v>51</v>
      </c>
      <c r="H838">
        <v>59</v>
      </c>
      <c r="I838" t="str">
        <f>IF(TBL[[#This Row],[Age]]&gt;=60, "Old", IF(TBL[[#This Row],[Age]]&gt;=30, "Adult", "Young"))</f>
        <v>Adult</v>
      </c>
      <c r="J838" s="1">
        <v>39701</v>
      </c>
      <c r="K838">
        <f t="shared" si="13"/>
        <v>2008</v>
      </c>
      <c r="L838">
        <f>MONTH(TBL[[#This Row],[Hire Date]])</f>
        <v>9</v>
      </c>
      <c r="M838" s="7">
        <v>96313</v>
      </c>
      <c r="N838" s="8">
        <v>0</v>
      </c>
      <c r="O838" t="s">
        <v>19</v>
      </c>
      <c r="P838" t="s">
        <v>25</v>
      </c>
      <c r="Q838" s="1" t="s">
        <v>21</v>
      </c>
    </row>
    <row r="839" spans="1:17" x14ac:dyDescent="0.35">
      <c r="A839" t="s">
        <v>1726</v>
      </c>
      <c r="B839" t="s">
        <v>1727</v>
      </c>
      <c r="C839" t="s">
        <v>40</v>
      </c>
      <c r="D839" t="s">
        <v>31</v>
      </c>
      <c r="E839" t="s">
        <v>44</v>
      </c>
      <c r="F839" t="s">
        <v>28</v>
      </c>
      <c r="G839" t="s">
        <v>18</v>
      </c>
      <c r="H839">
        <v>45</v>
      </c>
      <c r="I839" t="str">
        <f>IF(TBL[[#This Row],[Age]]&gt;=60, "Old", IF(TBL[[#This Row],[Age]]&gt;=30, "Adult", "Young"))</f>
        <v>Adult</v>
      </c>
      <c r="J839" s="1">
        <v>40511</v>
      </c>
      <c r="K839">
        <f t="shared" si="13"/>
        <v>2010</v>
      </c>
      <c r="L839">
        <f>MONTH(TBL[[#This Row],[Hire Date]])</f>
        <v>11</v>
      </c>
      <c r="M839" s="7">
        <v>153767</v>
      </c>
      <c r="N839" s="8">
        <v>0.27</v>
      </c>
      <c r="O839" t="s">
        <v>19</v>
      </c>
      <c r="P839" t="s">
        <v>39</v>
      </c>
      <c r="Q839" s="1" t="s">
        <v>21</v>
      </c>
    </row>
    <row r="840" spans="1:17" x14ac:dyDescent="0.35">
      <c r="A840" t="s">
        <v>280</v>
      </c>
      <c r="B840" t="s">
        <v>1728</v>
      </c>
      <c r="C840" t="s">
        <v>62</v>
      </c>
      <c r="D840" t="s">
        <v>43</v>
      </c>
      <c r="E840" t="s">
        <v>16</v>
      </c>
      <c r="F840" t="s">
        <v>17</v>
      </c>
      <c r="G840" t="s">
        <v>47</v>
      </c>
      <c r="H840">
        <v>42</v>
      </c>
      <c r="I840" t="str">
        <f>IF(TBL[[#This Row],[Age]]&gt;=60, "Old", IF(TBL[[#This Row],[Age]]&gt;=30, "Adult", "Young"))</f>
        <v>Adult</v>
      </c>
      <c r="J840" s="1">
        <v>42266</v>
      </c>
      <c r="K840">
        <f t="shared" si="13"/>
        <v>2015</v>
      </c>
      <c r="L840">
        <f>MONTH(TBL[[#This Row],[Hire Date]])</f>
        <v>9</v>
      </c>
      <c r="M840" s="7">
        <v>103423</v>
      </c>
      <c r="N840" s="8">
        <v>0.06</v>
      </c>
      <c r="O840" t="s">
        <v>19</v>
      </c>
      <c r="P840" t="s">
        <v>29</v>
      </c>
      <c r="Q840" s="1" t="s">
        <v>21</v>
      </c>
    </row>
    <row r="841" spans="1:17" x14ac:dyDescent="0.35">
      <c r="A841" t="s">
        <v>1729</v>
      </c>
      <c r="B841" t="s">
        <v>1730</v>
      </c>
      <c r="C841" t="s">
        <v>84</v>
      </c>
      <c r="D841" t="s">
        <v>31</v>
      </c>
      <c r="E841" t="s">
        <v>32</v>
      </c>
      <c r="F841" t="s">
        <v>17</v>
      </c>
      <c r="G841" t="s">
        <v>24</v>
      </c>
      <c r="H841">
        <v>25</v>
      </c>
      <c r="I841" t="str">
        <f>IF(TBL[[#This Row],[Age]]&gt;=60, "Old", IF(TBL[[#This Row],[Age]]&gt;=30, "Adult", "Young"))</f>
        <v>Young</v>
      </c>
      <c r="J841" s="1">
        <v>44370</v>
      </c>
      <c r="K841">
        <f t="shared" si="13"/>
        <v>2021</v>
      </c>
      <c r="L841">
        <f>MONTH(TBL[[#This Row],[Hire Date]])</f>
        <v>6</v>
      </c>
      <c r="M841" s="7">
        <v>86464</v>
      </c>
      <c r="N841" s="8">
        <v>0</v>
      </c>
      <c r="O841" t="s">
        <v>33</v>
      </c>
      <c r="P841" t="s">
        <v>74</v>
      </c>
      <c r="Q841" s="1" t="s">
        <v>21</v>
      </c>
    </row>
    <row r="842" spans="1:17" x14ac:dyDescent="0.35">
      <c r="A842" t="s">
        <v>1731</v>
      </c>
      <c r="B842" t="s">
        <v>1732</v>
      </c>
      <c r="C842" t="s">
        <v>84</v>
      </c>
      <c r="D842" t="s">
        <v>31</v>
      </c>
      <c r="E842" t="s">
        <v>32</v>
      </c>
      <c r="F842" t="s">
        <v>17</v>
      </c>
      <c r="G842" t="s">
        <v>51</v>
      </c>
      <c r="H842">
        <v>29</v>
      </c>
      <c r="I842" t="str">
        <f>IF(TBL[[#This Row],[Age]]&gt;=60, "Old", IF(TBL[[#This Row],[Age]]&gt;=30, "Adult", "Young"))</f>
        <v>Young</v>
      </c>
      <c r="J842" s="1">
        <v>43114</v>
      </c>
      <c r="K842">
        <f t="shared" si="13"/>
        <v>2018</v>
      </c>
      <c r="L842">
        <f>MONTH(TBL[[#This Row],[Hire Date]])</f>
        <v>1</v>
      </c>
      <c r="M842" s="7">
        <v>80516</v>
      </c>
      <c r="N842" s="8">
        <v>0</v>
      </c>
      <c r="O842" t="s">
        <v>52</v>
      </c>
      <c r="P842" t="s">
        <v>53</v>
      </c>
      <c r="Q842" s="1" t="s">
        <v>21</v>
      </c>
    </row>
    <row r="843" spans="1:17" x14ac:dyDescent="0.35">
      <c r="A843" t="s">
        <v>1733</v>
      </c>
      <c r="B843" t="s">
        <v>1734</v>
      </c>
      <c r="C843" t="s">
        <v>62</v>
      </c>
      <c r="D843" t="s">
        <v>23</v>
      </c>
      <c r="E843" t="s">
        <v>44</v>
      </c>
      <c r="F843" t="s">
        <v>17</v>
      </c>
      <c r="G843" t="s">
        <v>47</v>
      </c>
      <c r="H843">
        <v>33</v>
      </c>
      <c r="I843" t="str">
        <f>IF(TBL[[#This Row],[Age]]&gt;=60, "Old", IF(TBL[[#This Row],[Age]]&gt;=30, "Adult", "Young"))</f>
        <v>Adult</v>
      </c>
      <c r="J843" s="1">
        <v>41507</v>
      </c>
      <c r="K843">
        <f t="shared" si="13"/>
        <v>2013</v>
      </c>
      <c r="L843">
        <f>MONTH(TBL[[#This Row],[Hire Date]])</f>
        <v>8</v>
      </c>
      <c r="M843" s="7">
        <v>105390</v>
      </c>
      <c r="N843" s="8">
        <v>0.06</v>
      </c>
      <c r="O843" t="s">
        <v>19</v>
      </c>
      <c r="P843" t="s">
        <v>29</v>
      </c>
      <c r="Q843" s="1" t="s">
        <v>21</v>
      </c>
    </row>
    <row r="844" spans="1:17" x14ac:dyDescent="0.35">
      <c r="A844" t="s">
        <v>1735</v>
      </c>
      <c r="B844" t="s">
        <v>1736</v>
      </c>
      <c r="C844" t="s">
        <v>38</v>
      </c>
      <c r="D844" t="s">
        <v>27</v>
      </c>
      <c r="E844" t="s">
        <v>36</v>
      </c>
      <c r="F844" t="s">
        <v>17</v>
      </c>
      <c r="G844" t="s">
        <v>24</v>
      </c>
      <c r="H844">
        <v>50</v>
      </c>
      <c r="I844" t="str">
        <f>IF(TBL[[#This Row],[Age]]&gt;=60, "Old", IF(TBL[[#This Row],[Age]]&gt;=30, "Adult", "Young"))</f>
        <v>Adult</v>
      </c>
      <c r="J844" s="1">
        <v>44445</v>
      </c>
      <c r="K844">
        <f t="shared" si="13"/>
        <v>2021</v>
      </c>
      <c r="L844">
        <f>MONTH(TBL[[#This Row],[Hire Date]])</f>
        <v>9</v>
      </c>
      <c r="M844" s="7">
        <v>83418</v>
      </c>
      <c r="N844" s="8">
        <v>0</v>
      </c>
      <c r="O844" t="s">
        <v>33</v>
      </c>
      <c r="P844" t="s">
        <v>74</v>
      </c>
      <c r="Q844" s="1" t="s">
        <v>21</v>
      </c>
    </row>
    <row r="845" spans="1:17" x14ac:dyDescent="0.35">
      <c r="A845" t="s">
        <v>1737</v>
      </c>
      <c r="B845" t="s">
        <v>1738</v>
      </c>
      <c r="C845" t="s">
        <v>88</v>
      </c>
      <c r="D845" t="s">
        <v>27</v>
      </c>
      <c r="E845" t="s">
        <v>44</v>
      </c>
      <c r="F845" t="s">
        <v>17</v>
      </c>
      <c r="G845" t="s">
        <v>18</v>
      </c>
      <c r="H845">
        <v>45</v>
      </c>
      <c r="I845" t="str">
        <f>IF(TBL[[#This Row],[Age]]&gt;=60, "Old", IF(TBL[[#This Row],[Age]]&gt;=30, "Adult", "Young"))</f>
        <v>Adult</v>
      </c>
      <c r="J845" s="1">
        <v>43042</v>
      </c>
      <c r="K845">
        <f t="shared" si="13"/>
        <v>2017</v>
      </c>
      <c r="L845">
        <f>MONTH(TBL[[#This Row],[Hire Date]])</f>
        <v>11</v>
      </c>
      <c r="M845" s="7">
        <v>66660</v>
      </c>
      <c r="N845" s="8">
        <v>0</v>
      </c>
      <c r="O845" t="s">
        <v>19</v>
      </c>
      <c r="P845" t="s">
        <v>25</v>
      </c>
      <c r="Q845" s="1" t="s">
        <v>21</v>
      </c>
    </row>
    <row r="846" spans="1:17" x14ac:dyDescent="0.35">
      <c r="A846" t="s">
        <v>1383</v>
      </c>
      <c r="B846" t="s">
        <v>1739</v>
      </c>
      <c r="C846" t="s">
        <v>62</v>
      </c>
      <c r="D846" t="s">
        <v>23</v>
      </c>
      <c r="E846" t="s">
        <v>44</v>
      </c>
      <c r="F846" t="s">
        <v>28</v>
      </c>
      <c r="G846" t="s">
        <v>51</v>
      </c>
      <c r="H846">
        <v>59</v>
      </c>
      <c r="I846" t="str">
        <f>IF(TBL[[#This Row],[Age]]&gt;=60, "Old", IF(TBL[[#This Row],[Age]]&gt;=30, "Adult", "Young"))</f>
        <v>Adult</v>
      </c>
      <c r="J846" s="1">
        <v>42165</v>
      </c>
      <c r="K846">
        <f t="shared" si="13"/>
        <v>2015</v>
      </c>
      <c r="L846">
        <f>MONTH(TBL[[#This Row],[Hire Date]])</f>
        <v>6</v>
      </c>
      <c r="M846" s="7">
        <v>101985</v>
      </c>
      <c r="N846" s="8">
        <v>7.0000000000000007E-2</v>
      </c>
      <c r="O846" t="s">
        <v>19</v>
      </c>
      <c r="P846" t="s">
        <v>45</v>
      </c>
      <c r="Q846" s="1" t="s">
        <v>21</v>
      </c>
    </row>
    <row r="847" spans="1:17" x14ac:dyDescent="0.35">
      <c r="A847" t="s">
        <v>1740</v>
      </c>
      <c r="B847" t="s">
        <v>1741</v>
      </c>
      <c r="C847" t="s">
        <v>14</v>
      </c>
      <c r="D847" t="s">
        <v>15</v>
      </c>
      <c r="E847" t="s">
        <v>32</v>
      </c>
      <c r="F847" t="s">
        <v>28</v>
      </c>
      <c r="G847" t="s">
        <v>51</v>
      </c>
      <c r="H847">
        <v>29</v>
      </c>
      <c r="I847" t="str">
        <f>IF(TBL[[#This Row],[Age]]&gt;=60, "Old", IF(TBL[[#This Row],[Age]]&gt;=30, "Adult", "Young"))</f>
        <v>Young</v>
      </c>
      <c r="J847" s="1">
        <v>43439</v>
      </c>
      <c r="K847">
        <f t="shared" si="13"/>
        <v>2018</v>
      </c>
      <c r="L847">
        <f>MONTH(TBL[[#This Row],[Hire Date]])</f>
        <v>12</v>
      </c>
      <c r="M847" s="7">
        <v>199504</v>
      </c>
      <c r="N847" s="8">
        <v>0.3</v>
      </c>
      <c r="O847" t="s">
        <v>19</v>
      </c>
      <c r="P847" t="s">
        <v>25</v>
      </c>
      <c r="Q847" s="1" t="s">
        <v>21</v>
      </c>
    </row>
    <row r="848" spans="1:17" x14ac:dyDescent="0.35">
      <c r="A848" t="s">
        <v>1742</v>
      </c>
      <c r="B848" t="s">
        <v>1743</v>
      </c>
      <c r="C848" t="s">
        <v>61</v>
      </c>
      <c r="D848" t="s">
        <v>50</v>
      </c>
      <c r="E848" t="s">
        <v>32</v>
      </c>
      <c r="F848" t="s">
        <v>17</v>
      </c>
      <c r="G848" t="s">
        <v>51</v>
      </c>
      <c r="H848">
        <v>52</v>
      </c>
      <c r="I848" t="str">
        <f>IF(TBL[[#This Row],[Age]]&gt;=60, "Old", IF(TBL[[#This Row],[Age]]&gt;=30, "Adult", "Young"))</f>
        <v>Adult</v>
      </c>
      <c r="J848" s="1">
        <v>38995</v>
      </c>
      <c r="K848">
        <f t="shared" si="13"/>
        <v>2006</v>
      </c>
      <c r="L848">
        <f>MONTH(TBL[[#This Row],[Hire Date]])</f>
        <v>10</v>
      </c>
      <c r="M848" s="7">
        <v>147966</v>
      </c>
      <c r="N848" s="8">
        <v>0.11</v>
      </c>
      <c r="O848" t="s">
        <v>52</v>
      </c>
      <c r="P848" t="s">
        <v>66</v>
      </c>
      <c r="Q848" s="1">
        <v>43608</v>
      </c>
    </row>
    <row r="849" spans="1:17" x14ac:dyDescent="0.35">
      <c r="A849" t="s">
        <v>582</v>
      </c>
      <c r="B849" t="s">
        <v>1744</v>
      </c>
      <c r="C849" t="s">
        <v>83</v>
      </c>
      <c r="D849" t="s">
        <v>23</v>
      </c>
      <c r="E849" t="s">
        <v>44</v>
      </c>
      <c r="F849" t="s">
        <v>28</v>
      </c>
      <c r="G849" t="s">
        <v>24</v>
      </c>
      <c r="H849">
        <v>58</v>
      </c>
      <c r="I849" t="str">
        <f>IF(TBL[[#This Row],[Age]]&gt;=60, "Old", IF(TBL[[#This Row],[Age]]&gt;=30, "Adult", "Young"))</f>
        <v>Adult</v>
      </c>
      <c r="J849" s="1">
        <v>41810</v>
      </c>
      <c r="K849">
        <f t="shared" si="13"/>
        <v>2014</v>
      </c>
      <c r="L849">
        <f>MONTH(TBL[[#This Row],[Hire Date]])</f>
        <v>6</v>
      </c>
      <c r="M849" s="7">
        <v>41728</v>
      </c>
      <c r="N849" s="8">
        <v>0</v>
      </c>
      <c r="O849" t="s">
        <v>33</v>
      </c>
      <c r="P849" t="s">
        <v>80</v>
      </c>
      <c r="Q849" s="1" t="s">
        <v>21</v>
      </c>
    </row>
    <row r="850" spans="1:17" x14ac:dyDescent="0.35">
      <c r="A850" t="s">
        <v>1532</v>
      </c>
      <c r="B850" t="s">
        <v>67</v>
      </c>
      <c r="C850" t="s">
        <v>42</v>
      </c>
      <c r="D850" t="s">
        <v>65</v>
      </c>
      <c r="E850" t="s">
        <v>44</v>
      </c>
      <c r="F850" t="s">
        <v>28</v>
      </c>
      <c r="G850" t="s">
        <v>51</v>
      </c>
      <c r="H850">
        <v>62</v>
      </c>
      <c r="I850" t="str">
        <f>IF(TBL[[#This Row],[Age]]&gt;=60, "Old", IF(TBL[[#This Row],[Age]]&gt;=30, "Adult", "Young"))</f>
        <v>Old</v>
      </c>
      <c r="J850" s="1">
        <v>40591</v>
      </c>
      <c r="K850">
        <f t="shared" si="13"/>
        <v>2011</v>
      </c>
      <c r="L850">
        <f>MONTH(TBL[[#This Row],[Hire Date]])</f>
        <v>2</v>
      </c>
      <c r="M850" s="7">
        <v>94422</v>
      </c>
      <c r="N850" s="8">
        <v>0</v>
      </c>
      <c r="O850" t="s">
        <v>19</v>
      </c>
      <c r="P850" t="s">
        <v>39</v>
      </c>
      <c r="Q850" s="1" t="s">
        <v>21</v>
      </c>
    </row>
    <row r="851" spans="1:17" x14ac:dyDescent="0.35">
      <c r="A851" t="s">
        <v>1745</v>
      </c>
      <c r="B851" t="s">
        <v>1746</v>
      </c>
      <c r="C851" t="s">
        <v>40</v>
      </c>
      <c r="D851" t="s">
        <v>50</v>
      </c>
      <c r="E851" t="s">
        <v>32</v>
      </c>
      <c r="F851" t="s">
        <v>28</v>
      </c>
      <c r="G851" t="s">
        <v>24</v>
      </c>
      <c r="H851">
        <v>31</v>
      </c>
      <c r="I851" t="str">
        <f>IF(TBL[[#This Row],[Age]]&gt;=60, "Old", IF(TBL[[#This Row],[Age]]&gt;=30, "Adult", "Young"))</f>
        <v>Adult</v>
      </c>
      <c r="J851" s="1">
        <v>42184</v>
      </c>
      <c r="K851">
        <f t="shared" si="13"/>
        <v>2015</v>
      </c>
      <c r="L851">
        <f>MONTH(TBL[[#This Row],[Hire Date]])</f>
        <v>6</v>
      </c>
      <c r="M851" s="7">
        <v>191026</v>
      </c>
      <c r="N851" s="8">
        <v>0.16</v>
      </c>
      <c r="O851" t="s">
        <v>19</v>
      </c>
      <c r="P851" t="s">
        <v>29</v>
      </c>
      <c r="Q851" s="1" t="s">
        <v>21</v>
      </c>
    </row>
    <row r="852" spans="1:17" x14ac:dyDescent="0.35">
      <c r="A852" t="s">
        <v>1747</v>
      </c>
      <c r="B852" t="s">
        <v>1748</v>
      </c>
      <c r="C852" t="s">
        <v>14</v>
      </c>
      <c r="D852" t="s">
        <v>27</v>
      </c>
      <c r="E852" t="s">
        <v>16</v>
      </c>
      <c r="F852" t="s">
        <v>28</v>
      </c>
      <c r="G852" t="s">
        <v>51</v>
      </c>
      <c r="H852">
        <v>42</v>
      </c>
      <c r="I852" t="str">
        <f>IF(TBL[[#This Row],[Age]]&gt;=60, "Old", IF(TBL[[#This Row],[Age]]&gt;=30, "Adult", "Young"))</f>
        <v>Adult</v>
      </c>
      <c r="J852" s="1">
        <v>40511</v>
      </c>
      <c r="K852">
        <f t="shared" si="13"/>
        <v>2010</v>
      </c>
      <c r="L852">
        <f>MONTH(TBL[[#This Row],[Hire Date]])</f>
        <v>11</v>
      </c>
      <c r="M852" s="7">
        <v>186725</v>
      </c>
      <c r="N852" s="8">
        <v>0.32</v>
      </c>
      <c r="O852" t="s">
        <v>52</v>
      </c>
      <c r="P852" t="s">
        <v>81</v>
      </c>
      <c r="Q852" s="1" t="s">
        <v>21</v>
      </c>
    </row>
    <row r="853" spans="1:17" x14ac:dyDescent="0.35">
      <c r="A853" t="s">
        <v>1749</v>
      </c>
      <c r="B853" t="s">
        <v>1750</v>
      </c>
      <c r="C853" t="s">
        <v>83</v>
      </c>
      <c r="D853" t="s">
        <v>23</v>
      </c>
      <c r="E853" t="s">
        <v>16</v>
      </c>
      <c r="F853" t="s">
        <v>17</v>
      </c>
      <c r="G853" t="s">
        <v>18</v>
      </c>
      <c r="H853">
        <v>56</v>
      </c>
      <c r="I853" t="str">
        <f>IF(TBL[[#This Row],[Age]]&gt;=60, "Old", IF(TBL[[#This Row],[Age]]&gt;=30, "Adult", "Young"))</f>
        <v>Adult</v>
      </c>
      <c r="J853" s="1">
        <v>40045</v>
      </c>
      <c r="K853">
        <f t="shared" si="13"/>
        <v>2009</v>
      </c>
      <c r="L853">
        <f>MONTH(TBL[[#This Row],[Hire Date]])</f>
        <v>8</v>
      </c>
      <c r="M853" s="7">
        <v>52800</v>
      </c>
      <c r="N853" s="8">
        <v>0</v>
      </c>
      <c r="O853" t="s">
        <v>19</v>
      </c>
      <c r="P853" t="s">
        <v>39</v>
      </c>
      <c r="Q853" s="1" t="s">
        <v>21</v>
      </c>
    </row>
    <row r="854" spans="1:17" x14ac:dyDescent="0.35">
      <c r="A854" t="s">
        <v>1751</v>
      </c>
      <c r="B854" t="s">
        <v>1752</v>
      </c>
      <c r="C854" t="s">
        <v>69</v>
      </c>
      <c r="D854" t="s">
        <v>31</v>
      </c>
      <c r="E854" t="s">
        <v>44</v>
      </c>
      <c r="F854" t="s">
        <v>28</v>
      </c>
      <c r="G854" t="s">
        <v>18</v>
      </c>
      <c r="H854">
        <v>54</v>
      </c>
      <c r="I854" t="str">
        <f>IF(TBL[[#This Row],[Age]]&gt;=60, "Old", IF(TBL[[#This Row],[Age]]&gt;=30, "Adult", "Young"))</f>
        <v>Adult</v>
      </c>
      <c r="J854" s="1">
        <v>40517</v>
      </c>
      <c r="K854">
        <f t="shared" si="13"/>
        <v>2010</v>
      </c>
      <c r="L854">
        <f>MONTH(TBL[[#This Row],[Hire Date]])</f>
        <v>12</v>
      </c>
      <c r="M854" s="7">
        <v>113982</v>
      </c>
      <c r="N854" s="8">
        <v>0</v>
      </c>
      <c r="O854" t="s">
        <v>19</v>
      </c>
      <c r="P854" t="s">
        <v>63</v>
      </c>
      <c r="Q854" s="1" t="s">
        <v>21</v>
      </c>
    </row>
    <row r="855" spans="1:17" x14ac:dyDescent="0.35">
      <c r="A855" t="s">
        <v>1753</v>
      </c>
      <c r="B855" t="s">
        <v>1754</v>
      </c>
      <c r="C855" t="s">
        <v>94</v>
      </c>
      <c r="D855" t="s">
        <v>50</v>
      </c>
      <c r="E855" t="s">
        <v>16</v>
      </c>
      <c r="F855" t="s">
        <v>17</v>
      </c>
      <c r="G855" t="s">
        <v>24</v>
      </c>
      <c r="H855">
        <v>54</v>
      </c>
      <c r="I855" t="str">
        <f>IF(TBL[[#This Row],[Age]]&gt;=60, "Old", IF(TBL[[#This Row],[Age]]&gt;=30, "Adult", "Young"))</f>
        <v>Adult</v>
      </c>
      <c r="J855" s="1">
        <v>44271</v>
      </c>
      <c r="K855">
        <f t="shared" si="13"/>
        <v>2021</v>
      </c>
      <c r="L855">
        <f>MONTH(TBL[[#This Row],[Hire Date]])</f>
        <v>3</v>
      </c>
      <c r="M855" s="7">
        <v>56239</v>
      </c>
      <c r="N855" s="8">
        <v>0</v>
      </c>
      <c r="O855" t="s">
        <v>33</v>
      </c>
      <c r="P855" t="s">
        <v>80</v>
      </c>
      <c r="Q855" s="1" t="s">
        <v>21</v>
      </c>
    </row>
    <row r="856" spans="1:17" x14ac:dyDescent="0.35">
      <c r="A856" t="s">
        <v>235</v>
      </c>
      <c r="B856" t="s">
        <v>1755</v>
      </c>
      <c r="C856" t="s">
        <v>68</v>
      </c>
      <c r="D856" t="s">
        <v>50</v>
      </c>
      <c r="E856" t="s">
        <v>36</v>
      </c>
      <c r="F856" t="s">
        <v>28</v>
      </c>
      <c r="G856" t="s">
        <v>51</v>
      </c>
      <c r="H856">
        <v>26</v>
      </c>
      <c r="I856" t="str">
        <f>IF(TBL[[#This Row],[Age]]&gt;=60, "Old", IF(TBL[[#This Row],[Age]]&gt;=30, "Adult", "Young"))</f>
        <v>Young</v>
      </c>
      <c r="J856" s="1">
        <v>44257</v>
      </c>
      <c r="K856">
        <f t="shared" si="13"/>
        <v>2021</v>
      </c>
      <c r="L856">
        <f>MONTH(TBL[[#This Row],[Hire Date]])</f>
        <v>3</v>
      </c>
      <c r="M856" s="7">
        <v>44732</v>
      </c>
      <c r="N856" s="8">
        <v>0</v>
      </c>
      <c r="O856" t="s">
        <v>52</v>
      </c>
      <c r="P856" t="s">
        <v>66</v>
      </c>
      <c r="Q856" s="1" t="s">
        <v>21</v>
      </c>
    </row>
    <row r="857" spans="1:17" x14ac:dyDescent="0.35">
      <c r="A857" t="s">
        <v>134</v>
      </c>
      <c r="B857" t="s">
        <v>1756</v>
      </c>
      <c r="C857" t="s">
        <v>40</v>
      </c>
      <c r="D857" t="s">
        <v>43</v>
      </c>
      <c r="E857" t="s">
        <v>32</v>
      </c>
      <c r="F857" t="s">
        <v>28</v>
      </c>
      <c r="G857" t="s">
        <v>24</v>
      </c>
      <c r="H857">
        <v>49</v>
      </c>
      <c r="I857" t="str">
        <f>IF(TBL[[#This Row],[Age]]&gt;=60, "Old", IF(TBL[[#This Row],[Age]]&gt;=30, "Adult", "Young"))</f>
        <v>Adult</v>
      </c>
      <c r="J857" s="1">
        <v>41816</v>
      </c>
      <c r="K857">
        <f t="shared" si="13"/>
        <v>2014</v>
      </c>
      <c r="L857">
        <f>MONTH(TBL[[#This Row],[Hire Date]])</f>
        <v>6</v>
      </c>
      <c r="M857" s="7">
        <v>153961</v>
      </c>
      <c r="N857" s="8">
        <v>0.25</v>
      </c>
      <c r="O857" t="s">
        <v>33</v>
      </c>
      <c r="P857" t="s">
        <v>74</v>
      </c>
      <c r="Q857" s="1" t="s">
        <v>21</v>
      </c>
    </row>
    <row r="858" spans="1:17" x14ac:dyDescent="0.35">
      <c r="A858" t="s">
        <v>268</v>
      </c>
      <c r="B858" t="s">
        <v>1757</v>
      </c>
      <c r="C858" t="s">
        <v>71</v>
      </c>
      <c r="D858" t="s">
        <v>27</v>
      </c>
      <c r="E858" t="s">
        <v>44</v>
      </c>
      <c r="F858" t="s">
        <v>17</v>
      </c>
      <c r="G858" t="s">
        <v>24</v>
      </c>
      <c r="H858">
        <v>45</v>
      </c>
      <c r="I858" t="str">
        <f>IF(TBL[[#This Row],[Age]]&gt;=60, "Old", IF(TBL[[#This Row],[Age]]&gt;=30, "Adult", "Young"))</f>
        <v>Adult</v>
      </c>
      <c r="J858" s="1">
        <v>39069</v>
      </c>
      <c r="K858">
        <f t="shared" si="13"/>
        <v>2006</v>
      </c>
      <c r="L858">
        <f>MONTH(TBL[[#This Row],[Hire Date]])</f>
        <v>12</v>
      </c>
      <c r="M858" s="7">
        <v>68337</v>
      </c>
      <c r="N858" s="8">
        <v>0</v>
      </c>
      <c r="O858" t="s">
        <v>33</v>
      </c>
      <c r="P858" t="s">
        <v>80</v>
      </c>
      <c r="Q858" s="1" t="s">
        <v>21</v>
      </c>
    </row>
    <row r="859" spans="1:17" x14ac:dyDescent="0.35">
      <c r="A859" t="s">
        <v>275</v>
      </c>
      <c r="B859" t="s">
        <v>1758</v>
      </c>
      <c r="C859" t="s">
        <v>61</v>
      </c>
      <c r="D859" t="s">
        <v>23</v>
      </c>
      <c r="E859" t="s">
        <v>32</v>
      </c>
      <c r="F859" t="s">
        <v>28</v>
      </c>
      <c r="G859" t="s">
        <v>24</v>
      </c>
      <c r="H859">
        <v>45</v>
      </c>
      <c r="I859" t="str">
        <f>IF(TBL[[#This Row],[Age]]&gt;=60, "Old", IF(TBL[[#This Row],[Age]]&gt;=30, "Adult", "Young"))</f>
        <v>Adult</v>
      </c>
      <c r="J859" s="1">
        <v>40305</v>
      </c>
      <c r="K859">
        <f t="shared" si="13"/>
        <v>2010</v>
      </c>
      <c r="L859">
        <f>MONTH(TBL[[#This Row],[Hire Date]])</f>
        <v>5</v>
      </c>
      <c r="M859" s="7">
        <v>145093</v>
      </c>
      <c r="N859" s="8">
        <v>0.12</v>
      </c>
      <c r="O859" t="s">
        <v>19</v>
      </c>
      <c r="P859" t="s">
        <v>20</v>
      </c>
      <c r="Q859" s="1" t="s">
        <v>21</v>
      </c>
    </row>
    <row r="860" spans="1:17" x14ac:dyDescent="0.35">
      <c r="A860" t="s">
        <v>1759</v>
      </c>
      <c r="B860" t="s">
        <v>1760</v>
      </c>
      <c r="C860" t="s">
        <v>91</v>
      </c>
      <c r="D860" t="s">
        <v>27</v>
      </c>
      <c r="E860" t="s">
        <v>44</v>
      </c>
      <c r="F860" t="s">
        <v>17</v>
      </c>
      <c r="G860" t="s">
        <v>18</v>
      </c>
      <c r="H860">
        <v>26</v>
      </c>
      <c r="I860" t="str">
        <f>IF(TBL[[#This Row],[Age]]&gt;=60, "Old", IF(TBL[[#This Row],[Age]]&gt;=30, "Adult", "Young"))</f>
        <v>Young</v>
      </c>
      <c r="J860" s="1">
        <v>44266</v>
      </c>
      <c r="K860">
        <f t="shared" si="13"/>
        <v>2021</v>
      </c>
      <c r="L860">
        <f>MONTH(TBL[[#This Row],[Hire Date]])</f>
        <v>3</v>
      </c>
      <c r="M860" s="7">
        <v>74170</v>
      </c>
      <c r="N860" s="8">
        <v>0</v>
      </c>
      <c r="O860" t="s">
        <v>19</v>
      </c>
      <c r="P860" t="s">
        <v>25</v>
      </c>
      <c r="Q860" s="1" t="s">
        <v>21</v>
      </c>
    </row>
    <row r="861" spans="1:17" x14ac:dyDescent="0.35">
      <c r="A861" t="s">
        <v>1761</v>
      </c>
      <c r="B861" t="s">
        <v>1762</v>
      </c>
      <c r="C861" t="s">
        <v>129</v>
      </c>
      <c r="D861" t="s">
        <v>31</v>
      </c>
      <c r="E861" t="s">
        <v>16</v>
      </c>
      <c r="F861" t="s">
        <v>28</v>
      </c>
      <c r="G861" t="s">
        <v>18</v>
      </c>
      <c r="H861">
        <v>59</v>
      </c>
      <c r="I861" t="str">
        <f>IF(TBL[[#This Row],[Age]]&gt;=60, "Old", IF(TBL[[#This Row],[Age]]&gt;=30, "Adult", "Young"))</f>
        <v>Adult</v>
      </c>
      <c r="J861" s="1">
        <v>35153</v>
      </c>
      <c r="K861">
        <f t="shared" si="13"/>
        <v>1996</v>
      </c>
      <c r="L861">
        <f>MONTH(TBL[[#This Row],[Hire Date]])</f>
        <v>3</v>
      </c>
      <c r="M861" s="7">
        <v>62605</v>
      </c>
      <c r="N861" s="8">
        <v>0</v>
      </c>
      <c r="O861" t="s">
        <v>19</v>
      </c>
      <c r="P861" t="s">
        <v>25</v>
      </c>
      <c r="Q861" s="1" t="s">
        <v>21</v>
      </c>
    </row>
    <row r="862" spans="1:17" x14ac:dyDescent="0.35">
      <c r="A862" t="s">
        <v>48</v>
      </c>
      <c r="B862" t="s">
        <v>1763</v>
      </c>
      <c r="C862" t="s">
        <v>62</v>
      </c>
      <c r="D862" t="s">
        <v>27</v>
      </c>
      <c r="E862" t="s">
        <v>44</v>
      </c>
      <c r="F862" t="s">
        <v>17</v>
      </c>
      <c r="G862" t="s">
        <v>18</v>
      </c>
      <c r="H862">
        <v>51</v>
      </c>
      <c r="I862" t="str">
        <f>IF(TBL[[#This Row],[Age]]&gt;=60, "Old", IF(TBL[[#This Row],[Age]]&gt;=30, "Adult", "Young"))</f>
        <v>Adult</v>
      </c>
      <c r="J862" s="1">
        <v>43903</v>
      </c>
      <c r="K862">
        <f t="shared" si="13"/>
        <v>2020</v>
      </c>
      <c r="L862">
        <f>MONTH(TBL[[#This Row],[Hire Date]])</f>
        <v>3</v>
      </c>
      <c r="M862" s="7">
        <v>107195</v>
      </c>
      <c r="N862" s="8">
        <v>0.09</v>
      </c>
      <c r="O862" t="s">
        <v>19</v>
      </c>
      <c r="P862" t="s">
        <v>25</v>
      </c>
      <c r="Q862" s="1" t="s">
        <v>21</v>
      </c>
    </row>
    <row r="863" spans="1:17" x14ac:dyDescent="0.35">
      <c r="A863" t="s">
        <v>1689</v>
      </c>
      <c r="B863" t="s">
        <v>1764</v>
      </c>
      <c r="C863" t="s">
        <v>61</v>
      </c>
      <c r="D863" t="s">
        <v>43</v>
      </c>
      <c r="E863" t="s">
        <v>44</v>
      </c>
      <c r="F863" t="s">
        <v>28</v>
      </c>
      <c r="G863" t="s">
        <v>18</v>
      </c>
      <c r="H863">
        <v>45</v>
      </c>
      <c r="I863" t="str">
        <f>IF(TBL[[#This Row],[Age]]&gt;=60, "Old", IF(TBL[[#This Row],[Age]]&gt;=30, "Adult", "Young"))</f>
        <v>Adult</v>
      </c>
      <c r="J863" s="1">
        <v>43111</v>
      </c>
      <c r="K863">
        <f t="shared" si="13"/>
        <v>2018</v>
      </c>
      <c r="L863">
        <f>MONTH(TBL[[#This Row],[Hire Date]])</f>
        <v>1</v>
      </c>
      <c r="M863" s="7">
        <v>127422</v>
      </c>
      <c r="N863" s="8">
        <v>0.15</v>
      </c>
      <c r="O863" t="s">
        <v>19</v>
      </c>
      <c r="P863" t="s">
        <v>29</v>
      </c>
      <c r="Q863" s="1" t="s">
        <v>21</v>
      </c>
    </row>
    <row r="864" spans="1:17" x14ac:dyDescent="0.35">
      <c r="A864" t="s">
        <v>1765</v>
      </c>
      <c r="B864" t="s">
        <v>1766</v>
      </c>
      <c r="C864" t="s">
        <v>40</v>
      </c>
      <c r="D864" t="s">
        <v>65</v>
      </c>
      <c r="E864" t="s">
        <v>16</v>
      </c>
      <c r="F864" t="s">
        <v>17</v>
      </c>
      <c r="G864" t="s">
        <v>18</v>
      </c>
      <c r="H864">
        <v>35</v>
      </c>
      <c r="I864" t="str">
        <f>IF(TBL[[#This Row],[Age]]&gt;=60, "Old", IF(TBL[[#This Row],[Age]]&gt;=30, "Adult", "Young"))</f>
        <v>Adult</v>
      </c>
      <c r="J864" s="1">
        <v>42912</v>
      </c>
      <c r="K864">
        <f t="shared" si="13"/>
        <v>2017</v>
      </c>
      <c r="L864">
        <f>MONTH(TBL[[#This Row],[Hire Date]])</f>
        <v>6</v>
      </c>
      <c r="M864" s="7">
        <v>161269</v>
      </c>
      <c r="N864" s="8">
        <v>0.27</v>
      </c>
      <c r="O864" t="s">
        <v>19</v>
      </c>
      <c r="P864" t="s">
        <v>45</v>
      </c>
      <c r="Q864" s="1" t="s">
        <v>21</v>
      </c>
    </row>
    <row r="865" spans="1:17" x14ac:dyDescent="0.35">
      <c r="A865" t="s">
        <v>1767</v>
      </c>
      <c r="B865" t="s">
        <v>1768</v>
      </c>
      <c r="C865" t="s">
        <v>14</v>
      </c>
      <c r="D865" t="s">
        <v>43</v>
      </c>
      <c r="E865" t="s">
        <v>32</v>
      </c>
      <c r="F865" t="s">
        <v>17</v>
      </c>
      <c r="G865" t="s">
        <v>51</v>
      </c>
      <c r="H865">
        <v>32</v>
      </c>
      <c r="I865" t="str">
        <f>IF(TBL[[#This Row],[Age]]&gt;=60, "Old", IF(TBL[[#This Row],[Age]]&gt;=30, "Adult", "Young"))</f>
        <v>Adult</v>
      </c>
      <c r="J865" s="1">
        <v>41675</v>
      </c>
      <c r="K865">
        <f t="shared" si="13"/>
        <v>2014</v>
      </c>
      <c r="L865">
        <f>MONTH(TBL[[#This Row],[Hire Date]])</f>
        <v>2</v>
      </c>
      <c r="M865" s="7">
        <v>203445</v>
      </c>
      <c r="N865" s="8">
        <v>0.34</v>
      </c>
      <c r="O865" t="s">
        <v>52</v>
      </c>
      <c r="P865" t="s">
        <v>81</v>
      </c>
      <c r="Q865" s="1" t="s">
        <v>21</v>
      </c>
    </row>
    <row r="866" spans="1:17" x14ac:dyDescent="0.35">
      <c r="A866" t="s">
        <v>355</v>
      </c>
      <c r="B866" t="s">
        <v>1769</v>
      </c>
      <c r="C866" t="s">
        <v>61</v>
      </c>
      <c r="D866" t="s">
        <v>23</v>
      </c>
      <c r="E866" t="s">
        <v>16</v>
      </c>
      <c r="F866" t="s">
        <v>17</v>
      </c>
      <c r="G866" t="s">
        <v>24</v>
      </c>
      <c r="H866">
        <v>37</v>
      </c>
      <c r="I866" t="str">
        <f>IF(TBL[[#This Row],[Age]]&gt;=60, "Old", IF(TBL[[#This Row],[Age]]&gt;=30, "Adult", "Young"))</f>
        <v>Adult</v>
      </c>
      <c r="J866" s="1">
        <v>40560</v>
      </c>
      <c r="K866">
        <f t="shared" si="13"/>
        <v>2011</v>
      </c>
      <c r="L866">
        <f>MONTH(TBL[[#This Row],[Hire Date]])</f>
        <v>1</v>
      </c>
      <c r="M866" s="7">
        <v>131353</v>
      </c>
      <c r="N866" s="8">
        <v>0.11</v>
      </c>
      <c r="O866" t="s">
        <v>33</v>
      </c>
      <c r="P866" t="s">
        <v>74</v>
      </c>
      <c r="Q866" s="1" t="s">
        <v>21</v>
      </c>
    </row>
    <row r="867" spans="1:17" x14ac:dyDescent="0.35">
      <c r="A867" t="s">
        <v>1770</v>
      </c>
      <c r="B867" t="s">
        <v>1771</v>
      </c>
      <c r="C867" t="s">
        <v>82</v>
      </c>
      <c r="D867" t="s">
        <v>27</v>
      </c>
      <c r="E867" t="s">
        <v>36</v>
      </c>
      <c r="F867" t="s">
        <v>28</v>
      </c>
      <c r="G867" t="s">
        <v>24</v>
      </c>
      <c r="H867">
        <v>45</v>
      </c>
      <c r="I867" t="str">
        <f>IF(TBL[[#This Row],[Age]]&gt;=60, "Old", IF(TBL[[#This Row],[Age]]&gt;=30, "Adult", "Young"))</f>
        <v>Adult</v>
      </c>
      <c r="J867" s="1">
        <v>40253</v>
      </c>
      <c r="K867">
        <f t="shared" si="13"/>
        <v>2010</v>
      </c>
      <c r="L867">
        <f>MONTH(TBL[[#This Row],[Hire Date]])</f>
        <v>3</v>
      </c>
      <c r="M867" s="7">
        <v>88182</v>
      </c>
      <c r="N867" s="8">
        <v>0</v>
      </c>
      <c r="O867" t="s">
        <v>33</v>
      </c>
      <c r="P867" t="s">
        <v>34</v>
      </c>
      <c r="Q867" s="1" t="s">
        <v>21</v>
      </c>
    </row>
    <row r="868" spans="1:17" x14ac:dyDescent="0.35">
      <c r="A868" t="s">
        <v>163</v>
      </c>
      <c r="B868" t="s">
        <v>1772</v>
      </c>
      <c r="C868" t="s">
        <v>26</v>
      </c>
      <c r="D868" t="s">
        <v>27</v>
      </c>
      <c r="E868" t="s">
        <v>44</v>
      </c>
      <c r="F868" t="s">
        <v>28</v>
      </c>
      <c r="G868" t="s">
        <v>18</v>
      </c>
      <c r="H868">
        <v>61</v>
      </c>
      <c r="I868" t="str">
        <f>IF(TBL[[#This Row],[Age]]&gt;=60, "Old", IF(TBL[[#This Row],[Age]]&gt;=30, "Adult", "Young"))</f>
        <v>Old</v>
      </c>
      <c r="J868" s="1">
        <v>43703</v>
      </c>
      <c r="K868">
        <f t="shared" si="13"/>
        <v>2019</v>
      </c>
      <c r="L868">
        <f>MONTH(TBL[[#This Row],[Hire Date]])</f>
        <v>8</v>
      </c>
      <c r="M868" s="7">
        <v>75780</v>
      </c>
      <c r="N868" s="8">
        <v>0</v>
      </c>
      <c r="O868" t="s">
        <v>19</v>
      </c>
      <c r="P868" t="s">
        <v>63</v>
      </c>
      <c r="Q868" s="1" t="s">
        <v>21</v>
      </c>
    </row>
    <row r="869" spans="1:17" x14ac:dyDescent="0.35">
      <c r="A869" t="s">
        <v>1773</v>
      </c>
      <c r="B869" t="s">
        <v>1774</v>
      </c>
      <c r="C869" t="s">
        <v>64</v>
      </c>
      <c r="D869" t="s">
        <v>50</v>
      </c>
      <c r="E869" t="s">
        <v>16</v>
      </c>
      <c r="F869" t="s">
        <v>17</v>
      </c>
      <c r="G869" t="s">
        <v>24</v>
      </c>
      <c r="H869">
        <v>45</v>
      </c>
      <c r="I869" t="str">
        <f>IF(TBL[[#This Row],[Age]]&gt;=60, "Old", IF(TBL[[#This Row],[Age]]&gt;=30, "Adult", "Young"))</f>
        <v>Adult</v>
      </c>
      <c r="J869" s="1">
        <v>43557</v>
      </c>
      <c r="K869">
        <f t="shared" si="13"/>
        <v>2019</v>
      </c>
      <c r="L869">
        <f>MONTH(TBL[[#This Row],[Hire Date]])</f>
        <v>4</v>
      </c>
      <c r="M869" s="7">
        <v>52621</v>
      </c>
      <c r="N869" s="8">
        <v>0</v>
      </c>
      <c r="O869" t="s">
        <v>33</v>
      </c>
      <c r="P869" t="s">
        <v>60</v>
      </c>
      <c r="Q869" s="1" t="s">
        <v>21</v>
      </c>
    </row>
    <row r="870" spans="1:17" x14ac:dyDescent="0.35">
      <c r="A870" t="s">
        <v>1775</v>
      </c>
      <c r="B870" t="s">
        <v>1776</v>
      </c>
      <c r="C870" t="s">
        <v>97</v>
      </c>
      <c r="D870" t="s">
        <v>31</v>
      </c>
      <c r="E870" t="s">
        <v>16</v>
      </c>
      <c r="F870" t="s">
        <v>28</v>
      </c>
      <c r="G870" t="s">
        <v>24</v>
      </c>
      <c r="H870">
        <v>60</v>
      </c>
      <c r="I870" t="str">
        <f>IF(TBL[[#This Row],[Age]]&gt;=60, "Old", IF(TBL[[#This Row],[Age]]&gt;=30, "Adult", "Young"))</f>
        <v>Old</v>
      </c>
      <c r="J870" s="1">
        <v>43146</v>
      </c>
      <c r="K870">
        <f t="shared" si="13"/>
        <v>2018</v>
      </c>
      <c r="L870">
        <f>MONTH(TBL[[#This Row],[Hire Date]])</f>
        <v>2</v>
      </c>
      <c r="M870" s="7">
        <v>106079</v>
      </c>
      <c r="N870" s="8">
        <v>0.14000000000000001</v>
      </c>
      <c r="O870" t="s">
        <v>19</v>
      </c>
      <c r="P870" t="s">
        <v>25</v>
      </c>
      <c r="Q870" s="1">
        <v>44295</v>
      </c>
    </row>
    <row r="871" spans="1:17" x14ac:dyDescent="0.35">
      <c r="A871" t="s">
        <v>1777</v>
      </c>
      <c r="B871" t="s">
        <v>1778</v>
      </c>
      <c r="C871" t="s">
        <v>38</v>
      </c>
      <c r="D871" t="s">
        <v>27</v>
      </c>
      <c r="E871" t="s">
        <v>32</v>
      </c>
      <c r="F871" t="s">
        <v>28</v>
      </c>
      <c r="G871" t="s">
        <v>51</v>
      </c>
      <c r="H871">
        <v>30</v>
      </c>
      <c r="I871" t="str">
        <f>IF(TBL[[#This Row],[Age]]&gt;=60, "Old", IF(TBL[[#This Row],[Age]]&gt;=30, "Adult", "Young"))</f>
        <v>Adult</v>
      </c>
      <c r="J871" s="1">
        <v>42777</v>
      </c>
      <c r="K871">
        <f t="shared" si="13"/>
        <v>2017</v>
      </c>
      <c r="L871">
        <f>MONTH(TBL[[#This Row],[Hire Date]])</f>
        <v>2</v>
      </c>
      <c r="M871" s="7">
        <v>92058</v>
      </c>
      <c r="N871" s="8">
        <v>0</v>
      </c>
      <c r="O871" t="s">
        <v>19</v>
      </c>
      <c r="P871" t="s">
        <v>25</v>
      </c>
      <c r="Q871" s="1" t="s">
        <v>21</v>
      </c>
    </row>
    <row r="872" spans="1:17" x14ac:dyDescent="0.35">
      <c r="A872" t="s">
        <v>1779</v>
      </c>
      <c r="B872" t="s">
        <v>1780</v>
      </c>
      <c r="C872" t="s">
        <v>129</v>
      </c>
      <c r="D872" t="s">
        <v>31</v>
      </c>
      <c r="E872" t="s">
        <v>36</v>
      </c>
      <c r="F872" t="s">
        <v>28</v>
      </c>
      <c r="G872" t="s">
        <v>24</v>
      </c>
      <c r="H872">
        <v>64</v>
      </c>
      <c r="I872" t="str">
        <f>IF(TBL[[#This Row],[Age]]&gt;=60, "Old", IF(TBL[[#This Row],[Age]]&gt;=30, "Adult", "Young"))</f>
        <v>Old</v>
      </c>
      <c r="J872" s="1">
        <v>43527</v>
      </c>
      <c r="K872">
        <f t="shared" si="13"/>
        <v>2019</v>
      </c>
      <c r="L872">
        <f>MONTH(TBL[[#This Row],[Hire Date]])</f>
        <v>3</v>
      </c>
      <c r="M872" s="7">
        <v>67114</v>
      </c>
      <c r="N872" s="8">
        <v>0</v>
      </c>
      <c r="O872" t="s">
        <v>19</v>
      </c>
      <c r="P872" t="s">
        <v>39</v>
      </c>
      <c r="Q872" s="1" t="s">
        <v>21</v>
      </c>
    </row>
    <row r="873" spans="1:17" x14ac:dyDescent="0.35">
      <c r="A873" t="s">
        <v>1781</v>
      </c>
      <c r="B873" t="s">
        <v>1782</v>
      </c>
      <c r="C873" t="s">
        <v>64</v>
      </c>
      <c r="D873" t="s">
        <v>15</v>
      </c>
      <c r="E873" t="s">
        <v>16</v>
      </c>
      <c r="F873" t="s">
        <v>17</v>
      </c>
      <c r="G873" t="s">
        <v>51</v>
      </c>
      <c r="H873">
        <v>25</v>
      </c>
      <c r="I873" t="str">
        <f>IF(TBL[[#This Row],[Age]]&gt;=60, "Old", IF(TBL[[#This Row],[Age]]&gt;=30, "Adult", "Young"))</f>
        <v>Young</v>
      </c>
      <c r="J873" s="1">
        <v>44024</v>
      </c>
      <c r="K873">
        <f t="shared" si="13"/>
        <v>2020</v>
      </c>
      <c r="L873">
        <f>MONTH(TBL[[#This Row],[Hire Date]])</f>
        <v>7</v>
      </c>
      <c r="M873" s="7">
        <v>56565</v>
      </c>
      <c r="N873" s="8">
        <v>0</v>
      </c>
      <c r="O873" t="s">
        <v>52</v>
      </c>
      <c r="P873" t="s">
        <v>53</v>
      </c>
      <c r="Q873" s="1" t="s">
        <v>21</v>
      </c>
    </row>
    <row r="874" spans="1:17" x14ac:dyDescent="0.35">
      <c r="A874" t="s">
        <v>118</v>
      </c>
      <c r="B874" t="s">
        <v>1783</v>
      </c>
      <c r="C874" t="s">
        <v>22</v>
      </c>
      <c r="D874" t="s">
        <v>23</v>
      </c>
      <c r="E874" t="s">
        <v>36</v>
      </c>
      <c r="F874" t="s">
        <v>17</v>
      </c>
      <c r="G874" t="s">
        <v>18</v>
      </c>
      <c r="H874">
        <v>61</v>
      </c>
      <c r="I874" t="str">
        <f>IF(TBL[[#This Row],[Age]]&gt;=60, "Old", IF(TBL[[#This Row],[Age]]&gt;=30, "Adult", "Young"))</f>
        <v>Old</v>
      </c>
      <c r="J874" s="1">
        <v>40683</v>
      </c>
      <c r="K874">
        <f t="shared" si="13"/>
        <v>2011</v>
      </c>
      <c r="L874">
        <f>MONTH(TBL[[#This Row],[Hire Date]])</f>
        <v>5</v>
      </c>
      <c r="M874" s="7">
        <v>64937</v>
      </c>
      <c r="N874" s="8">
        <v>0</v>
      </c>
      <c r="O874" t="s">
        <v>19</v>
      </c>
      <c r="P874" t="s">
        <v>39</v>
      </c>
      <c r="Q874" s="1" t="s">
        <v>21</v>
      </c>
    </row>
    <row r="875" spans="1:17" x14ac:dyDescent="0.35">
      <c r="A875" t="s">
        <v>1784</v>
      </c>
      <c r="B875" t="s">
        <v>1785</v>
      </c>
      <c r="C875" t="s">
        <v>62</v>
      </c>
      <c r="D875" t="s">
        <v>43</v>
      </c>
      <c r="E875" t="s">
        <v>36</v>
      </c>
      <c r="F875" t="s">
        <v>17</v>
      </c>
      <c r="G875" t="s">
        <v>51</v>
      </c>
      <c r="H875">
        <v>65</v>
      </c>
      <c r="I875" t="str">
        <f>IF(TBL[[#This Row],[Age]]&gt;=60, "Old", IF(TBL[[#This Row],[Age]]&gt;=30, "Adult", "Young"))</f>
        <v>Old</v>
      </c>
      <c r="J875" s="1">
        <v>38967</v>
      </c>
      <c r="K875">
        <f t="shared" si="13"/>
        <v>2006</v>
      </c>
      <c r="L875">
        <f>MONTH(TBL[[#This Row],[Hire Date]])</f>
        <v>9</v>
      </c>
      <c r="M875" s="7">
        <v>127626</v>
      </c>
      <c r="N875" s="8">
        <v>0.1</v>
      </c>
      <c r="O875" t="s">
        <v>19</v>
      </c>
      <c r="P875" t="s">
        <v>45</v>
      </c>
      <c r="Q875" s="1" t="s">
        <v>21</v>
      </c>
    </row>
    <row r="876" spans="1:17" x14ac:dyDescent="0.35">
      <c r="A876" t="s">
        <v>360</v>
      </c>
      <c r="B876" t="s">
        <v>1786</v>
      </c>
      <c r="C876" t="s">
        <v>71</v>
      </c>
      <c r="D876" t="s">
        <v>27</v>
      </c>
      <c r="E876" t="s">
        <v>32</v>
      </c>
      <c r="F876" t="s">
        <v>28</v>
      </c>
      <c r="G876" t="s">
        <v>47</v>
      </c>
      <c r="H876">
        <v>61</v>
      </c>
      <c r="I876" t="str">
        <f>IF(TBL[[#This Row],[Age]]&gt;=60, "Old", IF(TBL[[#This Row],[Age]]&gt;=30, "Adult", "Young"))</f>
        <v>Old</v>
      </c>
      <c r="J876" s="1">
        <v>38013</v>
      </c>
      <c r="K876">
        <f t="shared" si="13"/>
        <v>2004</v>
      </c>
      <c r="L876">
        <f>MONTH(TBL[[#This Row],[Hire Date]])</f>
        <v>1</v>
      </c>
      <c r="M876" s="7">
        <v>88478</v>
      </c>
      <c r="N876" s="8">
        <v>0</v>
      </c>
      <c r="O876" t="s">
        <v>19</v>
      </c>
      <c r="P876" t="s">
        <v>25</v>
      </c>
      <c r="Q876" s="1" t="s">
        <v>21</v>
      </c>
    </row>
    <row r="877" spans="1:17" x14ac:dyDescent="0.35">
      <c r="A877" t="s">
        <v>1787</v>
      </c>
      <c r="B877" t="s">
        <v>1788</v>
      </c>
      <c r="C877" t="s">
        <v>56</v>
      </c>
      <c r="D877" t="s">
        <v>27</v>
      </c>
      <c r="E877" t="s">
        <v>44</v>
      </c>
      <c r="F877" t="s">
        <v>17</v>
      </c>
      <c r="G877" t="s">
        <v>24</v>
      </c>
      <c r="H877">
        <v>48</v>
      </c>
      <c r="I877" t="str">
        <f>IF(TBL[[#This Row],[Age]]&gt;=60, "Old", IF(TBL[[#This Row],[Age]]&gt;=30, "Adult", "Young"))</f>
        <v>Adult</v>
      </c>
      <c r="J877" s="1">
        <v>41749</v>
      </c>
      <c r="K877">
        <f t="shared" si="13"/>
        <v>2014</v>
      </c>
      <c r="L877">
        <f>MONTH(TBL[[#This Row],[Hire Date]])</f>
        <v>4</v>
      </c>
      <c r="M877" s="7">
        <v>91679</v>
      </c>
      <c r="N877" s="8">
        <v>7.0000000000000007E-2</v>
      </c>
      <c r="O877" t="s">
        <v>33</v>
      </c>
      <c r="P877" t="s">
        <v>80</v>
      </c>
      <c r="Q877" s="1" t="s">
        <v>21</v>
      </c>
    </row>
    <row r="878" spans="1:17" x14ac:dyDescent="0.35">
      <c r="A878" t="s">
        <v>249</v>
      </c>
      <c r="B878" t="s">
        <v>140</v>
      </c>
      <c r="C878" t="s">
        <v>40</v>
      </c>
      <c r="D878" t="s">
        <v>50</v>
      </c>
      <c r="E878" t="s">
        <v>32</v>
      </c>
      <c r="F878" t="s">
        <v>28</v>
      </c>
      <c r="G878" t="s">
        <v>24</v>
      </c>
      <c r="H878">
        <v>58</v>
      </c>
      <c r="I878" t="str">
        <f>IF(TBL[[#This Row],[Age]]&gt;=60, "Old", IF(TBL[[#This Row],[Age]]&gt;=30, "Adult", "Young"))</f>
        <v>Adult</v>
      </c>
      <c r="J878" s="1">
        <v>33682</v>
      </c>
      <c r="K878">
        <f t="shared" si="13"/>
        <v>1992</v>
      </c>
      <c r="L878">
        <f>MONTH(TBL[[#This Row],[Hire Date]])</f>
        <v>3</v>
      </c>
      <c r="M878" s="7">
        <v>199848</v>
      </c>
      <c r="N878" s="8">
        <v>0.16</v>
      </c>
      <c r="O878" t="s">
        <v>33</v>
      </c>
      <c r="P878" t="s">
        <v>80</v>
      </c>
      <c r="Q878" s="1" t="s">
        <v>21</v>
      </c>
    </row>
    <row r="879" spans="1:17" x14ac:dyDescent="0.35">
      <c r="A879" t="s">
        <v>395</v>
      </c>
      <c r="B879" t="s">
        <v>1789</v>
      </c>
      <c r="C879" t="s">
        <v>35</v>
      </c>
      <c r="D879" t="s">
        <v>27</v>
      </c>
      <c r="E879" t="s">
        <v>36</v>
      </c>
      <c r="F879" t="s">
        <v>28</v>
      </c>
      <c r="G879" t="s">
        <v>24</v>
      </c>
      <c r="H879">
        <v>34</v>
      </c>
      <c r="I879" t="str">
        <f>IF(TBL[[#This Row],[Age]]&gt;=60, "Old", IF(TBL[[#This Row],[Age]]&gt;=30, "Adult", "Young"))</f>
        <v>Adult</v>
      </c>
      <c r="J879" s="1">
        <v>43414</v>
      </c>
      <c r="K879">
        <f t="shared" si="13"/>
        <v>2018</v>
      </c>
      <c r="L879">
        <f>MONTH(TBL[[#This Row],[Hire Date]])</f>
        <v>11</v>
      </c>
      <c r="M879" s="7">
        <v>61944</v>
      </c>
      <c r="N879" s="8">
        <v>0</v>
      </c>
      <c r="O879" t="s">
        <v>33</v>
      </c>
      <c r="P879" t="s">
        <v>74</v>
      </c>
      <c r="Q879" s="1" t="s">
        <v>21</v>
      </c>
    </row>
    <row r="880" spans="1:17" x14ac:dyDescent="0.35">
      <c r="A880" t="s">
        <v>1790</v>
      </c>
      <c r="B880" t="s">
        <v>1791</v>
      </c>
      <c r="C880" t="s">
        <v>61</v>
      </c>
      <c r="D880" t="s">
        <v>50</v>
      </c>
      <c r="E880" t="s">
        <v>44</v>
      </c>
      <c r="F880" t="s">
        <v>17</v>
      </c>
      <c r="G880" t="s">
        <v>47</v>
      </c>
      <c r="H880">
        <v>30</v>
      </c>
      <c r="I880" t="str">
        <f>IF(TBL[[#This Row],[Age]]&gt;=60, "Old", IF(TBL[[#This Row],[Age]]&gt;=30, "Adult", "Young"))</f>
        <v>Adult</v>
      </c>
      <c r="J880" s="1">
        <v>42960</v>
      </c>
      <c r="K880">
        <f t="shared" si="13"/>
        <v>2017</v>
      </c>
      <c r="L880">
        <f>MONTH(TBL[[#This Row],[Hire Date]])</f>
        <v>8</v>
      </c>
      <c r="M880" s="7">
        <v>154624</v>
      </c>
      <c r="N880" s="8">
        <v>0.15</v>
      </c>
      <c r="O880" t="s">
        <v>19</v>
      </c>
      <c r="P880" t="s">
        <v>25</v>
      </c>
      <c r="Q880" s="1" t="s">
        <v>21</v>
      </c>
    </row>
    <row r="881" spans="1:17" x14ac:dyDescent="0.35">
      <c r="A881" t="s">
        <v>1792</v>
      </c>
      <c r="B881" t="s">
        <v>1793</v>
      </c>
      <c r="C881" t="s">
        <v>42</v>
      </c>
      <c r="D881" t="s">
        <v>65</v>
      </c>
      <c r="E881" t="s">
        <v>16</v>
      </c>
      <c r="F881" t="s">
        <v>28</v>
      </c>
      <c r="G881" t="s">
        <v>24</v>
      </c>
      <c r="H881">
        <v>50</v>
      </c>
      <c r="I881" t="str">
        <f>IF(TBL[[#This Row],[Age]]&gt;=60, "Old", IF(TBL[[#This Row],[Age]]&gt;=30, "Adult", "Young"))</f>
        <v>Adult</v>
      </c>
      <c r="J881" s="1">
        <v>40109</v>
      </c>
      <c r="K881">
        <f t="shared" si="13"/>
        <v>2009</v>
      </c>
      <c r="L881">
        <f>MONTH(TBL[[#This Row],[Hire Date]])</f>
        <v>10</v>
      </c>
      <c r="M881" s="7">
        <v>79447</v>
      </c>
      <c r="N881" s="8">
        <v>0</v>
      </c>
      <c r="O881" t="s">
        <v>33</v>
      </c>
      <c r="P881" t="s">
        <v>74</v>
      </c>
      <c r="Q881" s="1" t="s">
        <v>21</v>
      </c>
    </row>
    <row r="882" spans="1:17" x14ac:dyDescent="0.35">
      <c r="A882" t="s">
        <v>166</v>
      </c>
      <c r="B882" t="s">
        <v>1794</v>
      </c>
      <c r="C882" t="s">
        <v>42</v>
      </c>
      <c r="D882" t="s">
        <v>50</v>
      </c>
      <c r="E882" t="s">
        <v>36</v>
      </c>
      <c r="F882" t="s">
        <v>28</v>
      </c>
      <c r="G882" t="s">
        <v>51</v>
      </c>
      <c r="H882">
        <v>51</v>
      </c>
      <c r="I882" t="str">
        <f>IF(TBL[[#This Row],[Age]]&gt;=60, "Old", IF(TBL[[#This Row],[Age]]&gt;=30, "Adult", "Young"))</f>
        <v>Adult</v>
      </c>
      <c r="J882" s="1">
        <v>35852</v>
      </c>
      <c r="K882">
        <f t="shared" si="13"/>
        <v>1998</v>
      </c>
      <c r="L882">
        <f>MONTH(TBL[[#This Row],[Hire Date]])</f>
        <v>2</v>
      </c>
      <c r="M882" s="7">
        <v>71111</v>
      </c>
      <c r="N882" s="8">
        <v>0</v>
      </c>
      <c r="O882" t="s">
        <v>52</v>
      </c>
      <c r="P882" t="s">
        <v>66</v>
      </c>
      <c r="Q882" s="1" t="s">
        <v>21</v>
      </c>
    </row>
    <row r="883" spans="1:17" x14ac:dyDescent="0.35">
      <c r="A883" t="s">
        <v>1795</v>
      </c>
      <c r="B883" t="s">
        <v>1796</v>
      </c>
      <c r="C883" t="s">
        <v>61</v>
      </c>
      <c r="D883" t="s">
        <v>50</v>
      </c>
      <c r="E883" t="s">
        <v>16</v>
      </c>
      <c r="F883" t="s">
        <v>28</v>
      </c>
      <c r="G883" t="s">
        <v>18</v>
      </c>
      <c r="H883">
        <v>53</v>
      </c>
      <c r="I883" t="str">
        <f>IF(TBL[[#This Row],[Age]]&gt;=60, "Old", IF(TBL[[#This Row],[Age]]&gt;=30, "Adult", "Young"))</f>
        <v>Adult</v>
      </c>
      <c r="J883" s="1">
        <v>41931</v>
      </c>
      <c r="K883">
        <f t="shared" si="13"/>
        <v>2014</v>
      </c>
      <c r="L883">
        <f>MONTH(TBL[[#This Row],[Hire Date]])</f>
        <v>10</v>
      </c>
      <c r="M883" s="7">
        <v>159538</v>
      </c>
      <c r="N883" s="8">
        <v>0.11</v>
      </c>
      <c r="O883" t="s">
        <v>19</v>
      </c>
      <c r="P883" t="s">
        <v>45</v>
      </c>
      <c r="Q883" s="1" t="s">
        <v>21</v>
      </c>
    </row>
    <row r="884" spans="1:17" x14ac:dyDescent="0.35">
      <c r="A884" t="s">
        <v>1472</v>
      </c>
      <c r="B884" t="s">
        <v>1797</v>
      </c>
      <c r="C884" t="s">
        <v>84</v>
      </c>
      <c r="D884" t="s">
        <v>31</v>
      </c>
      <c r="E884" t="s">
        <v>32</v>
      </c>
      <c r="F884" t="s">
        <v>17</v>
      </c>
      <c r="G884" t="s">
        <v>51</v>
      </c>
      <c r="H884">
        <v>47</v>
      </c>
      <c r="I884" t="str">
        <f>IF(TBL[[#This Row],[Age]]&gt;=60, "Old", IF(TBL[[#This Row],[Age]]&gt;=30, "Adult", "Young"))</f>
        <v>Adult</v>
      </c>
      <c r="J884" s="1">
        <v>43375</v>
      </c>
      <c r="K884">
        <f t="shared" si="13"/>
        <v>2018</v>
      </c>
      <c r="L884">
        <f>MONTH(TBL[[#This Row],[Hire Date]])</f>
        <v>10</v>
      </c>
      <c r="M884" s="7">
        <v>111404</v>
      </c>
      <c r="N884" s="8">
        <v>0</v>
      </c>
      <c r="O884" t="s">
        <v>52</v>
      </c>
      <c r="P884" t="s">
        <v>66</v>
      </c>
      <c r="Q884" s="1" t="s">
        <v>21</v>
      </c>
    </row>
    <row r="885" spans="1:17" x14ac:dyDescent="0.35">
      <c r="A885" t="s">
        <v>1798</v>
      </c>
      <c r="B885" t="s">
        <v>1799</v>
      </c>
      <c r="C885" t="s">
        <v>40</v>
      </c>
      <c r="D885" t="s">
        <v>43</v>
      </c>
      <c r="E885" t="s">
        <v>44</v>
      </c>
      <c r="F885" t="s">
        <v>28</v>
      </c>
      <c r="G885" t="s">
        <v>18</v>
      </c>
      <c r="H885">
        <v>25</v>
      </c>
      <c r="I885" t="str">
        <f>IF(TBL[[#This Row],[Age]]&gt;=60, "Old", IF(TBL[[#This Row],[Age]]&gt;=30, "Adult", "Young"))</f>
        <v>Young</v>
      </c>
      <c r="J885" s="1">
        <v>44058</v>
      </c>
      <c r="K885">
        <f t="shared" si="13"/>
        <v>2020</v>
      </c>
      <c r="L885">
        <f>MONTH(TBL[[#This Row],[Hire Date]])</f>
        <v>8</v>
      </c>
      <c r="M885" s="7">
        <v>172007</v>
      </c>
      <c r="N885" s="8">
        <v>0.26</v>
      </c>
      <c r="O885" t="s">
        <v>19</v>
      </c>
      <c r="P885" t="s">
        <v>45</v>
      </c>
      <c r="Q885" s="1" t="s">
        <v>21</v>
      </c>
    </row>
    <row r="886" spans="1:17" x14ac:dyDescent="0.35">
      <c r="A886" t="s">
        <v>1800</v>
      </c>
      <c r="B886" t="s">
        <v>1801</v>
      </c>
      <c r="C886" t="s">
        <v>14</v>
      </c>
      <c r="D886" t="s">
        <v>43</v>
      </c>
      <c r="E886" t="s">
        <v>36</v>
      </c>
      <c r="F886" t="s">
        <v>17</v>
      </c>
      <c r="G886" t="s">
        <v>51</v>
      </c>
      <c r="H886">
        <v>37</v>
      </c>
      <c r="I886" t="str">
        <f>IF(TBL[[#This Row],[Age]]&gt;=60, "Old", IF(TBL[[#This Row],[Age]]&gt;=30, "Adult", "Young"))</f>
        <v>Adult</v>
      </c>
      <c r="J886" s="1">
        <v>40745</v>
      </c>
      <c r="K886">
        <f t="shared" si="13"/>
        <v>2011</v>
      </c>
      <c r="L886">
        <f>MONTH(TBL[[#This Row],[Hire Date]])</f>
        <v>7</v>
      </c>
      <c r="M886" s="7">
        <v>219474</v>
      </c>
      <c r="N886" s="8">
        <v>0.36</v>
      </c>
      <c r="O886" t="s">
        <v>52</v>
      </c>
      <c r="P886" t="s">
        <v>81</v>
      </c>
      <c r="Q886" s="1" t="s">
        <v>21</v>
      </c>
    </row>
    <row r="887" spans="1:17" x14ac:dyDescent="0.35">
      <c r="A887" t="s">
        <v>1802</v>
      </c>
      <c r="B887" t="s">
        <v>1803</v>
      </c>
      <c r="C887" t="s">
        <v>40</v>
      </c>
      <c r="D887" t="s">
        <v>15</v>
      </c>
      <c r="E887" t="s">
        <v>32</v>
      </c>
      <c r="F887" t="s">
        <v>28</v>
      </c>
      <c r="G887" t="s">
        <v>18</v>
      </c>
      <c r="H887">
        <v>41</v>
      </c>
      <c r="I887" t="str">
        <f>IF(TBL[[#This Row],[Age]]&gt;=60, "Old", IF(TBL[[#This Row],[Age]]&gt;=30, "Adult", "Young"))</f>
        <v>Adult</v>
      </c>
      <c r="J887" s="1">
        <v>43600</v>
      </c>
      <c r="K887">
        <f t="shared" si="13"/>
        <v>2019</v>
      </c>
      <c r="L887">
        <f>MONTH(TBL[[#This Row],[Hire Date]])</f>
        <v>5</v>
      </c>
      <c r="M887" s="7">
        <v>174415</v>
      </c>
      <c r="N887" s="8">
        <v>0.23</v>
      </c>
      <c r="O887" t="s">
        <v>19</v>
      </c>
      <c r="P887" t="s">
        <v>45</v>
      </c>
      <c r="Q887" s="1" t="s">
        <v>21</v>
      </c>
    </row>
    <row r="888" spans="1:17" x14ac:dyDescent="0.35">
      <c r="A888" t="s">
        <v>1804</v>
      </c>
      <c r="B888" t="s">
        <v>1805</v>
      </c>
      <c r="C888" t="s">
        <v>71</v>
      </c>
      <c r="D888" t="s">
        <v>27</v>
      </c>
      <c r="E888" t="s">
        <v>44</v>
      </c>
      <c r="F888" t="s">
        <v>17</v>
      </c>
      <c r="G888" t="s">
        <v>51</v>
      </c>
      <c r="H888">
        <v>36</v>
      </c>
      <c r="I888" t="str">
        <f>IF(TBL[[#This Row],[Age]]&gt;=60, "Old", IF(TBL[[#This Row],[Age]]&gt;=30, "Adult", "Young"))</f>
        <v>Adult</v>
      </c>
      <c r="J888" s="1">
        <v>44217</v>
      </c>
      <c r="K888">
        <f t="shared" si="13"/>
        <v>2021</v>
      </c>
      <c r="L888">
        <f>MONTH(TBL[[#This Row],[Hire Date]])</f>
        <v>1</v>
      </c>
      <c r="M888" s="7">
        <v>90333</v>
      </c>
      <c r="N888" s="8">
        <v>0</v>
      </c>
      <c r="O888" t="s">
        <v>52</v>
      </c>
      <c r="P888" t="s">
        <v>66</v>
      </c>
      <c r="Q888" s="1" t="s">
        <v>21</v>
      </c>
    </row>
    <row r="889" spans="1:17" x14ac:dyDescent="0.35">
      <c r="A889" t="s">
        <v>1806</v>
      </c>
      <c r="B889" t="s">
        <v>1807</v>
      </c>
      <c r="C889" t="s">
        <v>22</v>
      </c>
      <c r="D889" t="s">
        <v>23</v>
      </c>
      <c r="E889" t="s">
        <v>44</v>
      </c>
      <c r="F889" t="s">
        <v>28</v>
      </c>
      <c r="G889" t="s">
        <v>24</v>
      </c>
      <c r="H889">
        <v>25</v>
      </c>
      <c r="I889" t="str">
        <f>IF(TBL[[#This Row],[Age]]&gt;=60, "Old", IF(TBL[[#This Row],[Age]]&gt;=30, "Adult", "Young"))</f>
        <v>Young</v>
      </c>
      <c r="J889" s="1">
        <v>44217</v>
      </c>
      <c r="K889">
        <f t="shared" si="13"/>
        <v>2021</v>
      </c>
      <c r="L889">
        <f>MONTH(TBL[[#This Row],[Hire Date]])</f>
        <v>1</v>
      </c>
      <c r="M889" s="7">
        <v>67299</v>
      </c>
      <c r="N889" s="8">
        <v>0</v>
      </c>
      <c r="O889" t="s">
        <v>19</v>
      </c>
      <c r="P889" t="s">
        <v>39</v>
      </c>
      <c r="Q889" s="1" t="s">
        <v>21</v>
      </c>
    </row>
    <row r="890" spans="1:17" x14ac:dyDescent="0.35">
      <c r="A890" t="s">
        <v>304</v>
      </c>
      <c r="B890" t="s">
        <v>1808</v>
      </c>
      <c r="C890" t="s">
        <v>76</v>
      </c>
      <c r="D890" t="s">
        <v>27</v>
      </c>
      <c r="E890" t="s">
        <v>16</v>
      </c>
      <c r="F890" t="s">
        <v>17</v>
      </c>
      <c r="G890" t="s">
        <v>18</v>
      </c>
      <c r="H890">
        <v>52</v>
      </c>
      <c r="I890" t="str">
        <f>IF(TBL[[#This Row],[Age]]&gt;=60, "Old", IF(TBL[[#This Row],[Age]]&gt;=30, "Adult", "Young"))</f>
        <v>Adult</v>
      </c>
      <c r="J890" s="1">
        <v>38406</v>
      </c>
      <c r="K890">
        <f t="shared" si="13"/>
        <v>2005</v>
      </c>
      <c r="L890">
        <f>MONTH(TBL[[#This Row],[Hire Date]])</f>
        <v>2</v>
      </c>
      <c r="M890" s="7">
        <v>45286</v>
      </c>
      <c r="N890" s="8">
        <v>0</v>
      </c>
      <c r="O890" t="s">
        <v>19</v>
      </c>
      <c r="P890" t="s">
        <v>20</v>
      </c>
      <c r="Q890" s="1" t="s">
        <v>21</v>
      </c>
    </row>
    <row r="891" spans="1:17" x14ac:dyDescent="0.35">
      <c r="A891" t="s">
        <v>323</v>
      </c>
      <c r="B891" t="s">
        <v>1809</v>
      </c>
      <c r="C891" t="s">
        <v>40</v>
      </c>
      <c r="D891" t="s">
        <v>43</v>
      </c>
      <c r="E891" t="s">
        <v>16</v>
      </c>
      <c r="F891" t="s">
        <v>28</v>
      </c>
      <c r="G891" t="s">
        <v>18</v>
      </c>
      <c r="H891">
        <v>48</v>
      </c>
      <c r="I891" t="str">
        <f>IF(TBL[[#This Row],[Age]]&gt;=60, "Old", IF(TBL[[#This Row],[Age]]&gt;=30, "Adult", "Young"))</f>
        <v>Adult</v>
      </c>
      <c r="J891" s="1">
        <v>39302</v>
      </c>
      <c r="K891">
        <f t="shared" si="13"/>
        <v>2007</v>
      </c>
      <c r="L891">
        <f>MONTH(TBL[[#This Row],[Hire Date]])</f>
        <v>8</v>
      </c>
      <c r="M891" s="7">
        <v>194723</v>
      </c>
      <c r="N891" s="8">
        <v>0.25</v>
      </c>
      <c r="O891" t="s">
        <v>19</v>
      </c>
      <c r="P891" t="s">
        <v>39</v>
      </c>
      <c r="Q891" s="1" t="s">
        <v>21</v>
      </c>
    </row>
    <row r="892" spans="1:17" x14ac:dyDescent="0.35">
      <c r="A892" t="s">
        <v>295</v>
      </c>
      <c r="B892" t="s">
        <v>1810</v>
      </c>
      <c r="C892" t="s">
        <v>62</v>
      </c>
      <c r="D892" t="s">
        <v>50</v>
      </c>
      <c r="E892" t="s">
        <v>16</v>
      </c>
      <c r="F892" t="s">
        <v>28</v>
      </c>
      <c r="G892" t="s">
        <v>24</v>
      </c>
      <c r="H892">
        <v>49</v>
      </c>
      <c r="I892" t="str">
        <f>IF(TBL[[#This Row],[Age]]&gt;=60, "Old", IF(TBL[[#This Row],[Age]]&gt;=30, "Adult", "Young"))</f>
        <v>Adult</v>
      </c>
      <c r="J892" s="1">
        <v>41131</v>
      </c>
      <c r="K892">
        <f t="shared" si="13"/>
        <v>2012</v>
      </c>
      <c r="L892">
        <f>MONTH(TBL[[#This Row],[Hire Date]])</f>
        <v>8</v>
      </c>
      <c r="M892" s="7">
        <v>109850</v>
      </c>
      <c r="N892" s="8">
        <v>7.0000000000000007E-2</v>
      </c>
      <c r="O892" t="s">
        <v>33</v>
      </c>
      <c r="P892" t="s">
        <v>60</v>
      </c>
      <c r="Q892" s="1">
        <v>43865</v>
      </c>
    </row>
    <row r="893" spans="1:17" x14ac:dyDescent="0.35">
      <c r="A893" t="s">
        <v>329</v>
      </c>
      <c r="B893" t="s">
        <v>1811</v>
      </c>
      <c r="C893" t="s">
        <v>83</v>
      </c>
      <c r="D893" t="s">
        <v>23</v>
      </c>
      <c r="E893" t="s">
        <v>16</v>
      </c>
      <c r="F893" t="s">
        <v>17</v>
      </c>
      <c r="G893" t="s">
        <v>51</v>
      </c>
      <c r="H893">
        <v>62</v>
      </c>
      <c r="I893" t="str">
        <f>IF(TBL[[#This Row],[Age]]&gt;=60, "Old", IF(TBL[[#This Row],[Age]]&gt;=30, "Adult", "Young"))</f>
        <v>Old</v>
      </c>
      <c r="J893" s="1">
        <v>41748</v>
      </c>
      <c r="K893">
        <f t="shared" si="13"/>
        <v>2014</v>
      </c>
      <c r="L893">
        <f>MONTH(TBL[[#This Row],[Hire Date]])</f>
        <v>4</v>
      </c>
      <c r="M893" s="7">
        <v>45295</v>
      </c>
      <c r="N893" s="8">
        <v>0</v>
      </c>
      <c r="O893" t="s">
        <v>52</v>
      </c>
      <c r="P893" t="s">
        <v>53</v>
      </c>
      <c r="Q893" s="1" t="s">
        <v>21</v>
      </c>
    </row>
    <row r="894" spans="1:17" x14ac:dyDescent="0.35">
      <c r="A894" t="s">
        <v>41</v>
      </c>
      <c r="B894" t="s">
        <v>1812</v>
      </c>
      <c r="C894" t="s">
        <v>89</v>
      </c>
      <c r="D894" t="s">
        <v>27</v>
      </c>
      <c r="E894" t="s">
        <v>36</v>
      </c>
      <c r="F894" t="s">
        <v>17</v>
      </c>
      <c r="G894" t="s">
        <v>18</v>
      </c>
      <c r="H894">
        <v>36</v>
      </c>
      <c r="I894" t="str">
        <f>IF(TBL[[#This Row],[Age]]&gt;=60, "Old", IF(TBL[[#This Row],[Age]]&gt;=30, "Adult", "Young"))</f>
        <v>Adult</v>
      </c>
      <c r="J894" s="1">
        <v>40413</v>
      </c>
      <c r="K894">
        <f t="shared" si="13"/>
        <v>2010</v>
      </c>
      <c r="L894">
        <f>MONTH(TBL[[#This Row],[Hire Date]])</f>
        <v>8</v>
      </c>
      <c r="M894" s="7">
        <v>61310</v>
      </c>
      <c r="N894" s="8">
        <v>0</v>
      </c>
      <c r="O894" t="s">
        <v>19</v>
      </c>
      <c r="P894" t="s">
        <v>39</v>
      </c>
      <c r="Q894" s="1" t="s">
        <v>21</v>
      </c>
    </row>
    <row r="895" spans="1:17" x14ac:dyDescent="0.35">
      <c r="A895" t="s">
        <v>117</v>
      </c>
      <c r="B895" t="s">
        <v>1621</v>
      </c>
      <c r="C895" t="s">
        <v>98</v>
      </c>
      <c r="D895" t="s">
        <v>27</v>
      </c>
      <c r="E895" t="s">
        <v>16</v>
      </c>
      <c r="F895" t="s">
        <v>28</v>
      </c>
      <c r="G895" t="s">
        <v>24</v>
      </c>
      <c r="H895">
        <v>55</v>
      </c>
      <c r="I895" t="str">
        <f>IF(TBL[[#This Row],[Age]]&gt;=60, "Old", IF(TBL[[#This Row],[Age]]&gt;=30, "Adult", "Young"))</f>
        <v>Adult</v>
      </c>
      <c r="J895" s="1">
        <v>42683</v>
      </c>
      <c r="K895">
        <f t="shared" si="13"/>
        <v>2016</v>
      </c>
      <c r="L895">
        <f>MONTH(TBL[[#This Row],[Hire Date]])</f>
        <v>11</v>
      </c>
      <c r="M895" s="7">
        <v>87851</v>
      </c>
      <c r="N895" s="8">
        <v>0</v>
      </c>
      <c r="O895" t="s">
        <v>33</v>
      </c>
      <c r="P895" t="s">
        <v>80</v>
      </c>
      <c r="Q895" s="1" t="s">
        <v>21</v>
      </c>
    </row>
    <row r="896" spans="1:17" x14ac:dyDescent="0.35">
      <c r="A896" t="s">
        <v>341</v>
      </c>
      <c r="B896" t="s">
        <v>1813</v>
      </c>
      <c r="C896" t="s">
        <v>83</v>
      </c>
      <c r="D896" t="s">
        <v>23</v>
      </c>
      <c r="E896" t="s">
        <v>44</v>
      </c>
      <c r="F896" t="s">
        <v>17</v>
      </c>
      <c r="G896" t="s">
        <v>24</v>
      </c>
      <c r="H896">
        <v>31</v>
      </c>
      <c r="I896" t="str">
        <f>IF(TBL[[#This Row],[Age]]&gt;=60, "Old", IF(TBL[[#This Row],[Age]]&gt;=30, "Adult", "Young"))</f>
        <v>Adult</v>
      </c>
      <c r="J896" s="1">
        <v>43171</v>
      </c>
      <c r="K896">
        <f t="shared" si="13"/>
        <v>2018</v>
      </c>
      <c r="L896">
        <f>MONTH(TBL[[#This Row],[Hire Date]])</f>
        <v>3</v>
      </c>
      <c r="M896" s="7">
        <v>47913</v>
      </c>
      <c r="N896" s="8">
        <v>0</v>
      </c>
      <c r="O896" t="s">
        <v>19</v>
      </c>
      <c r="P896" t="s">
        <v>63</v>
      </c>
      <c r="Q896" s="1" t="s">
        <v>21</v>
      </c>
    </row>
    <row r="897" spans="1:17" x14ac:dyDescent="0.35">
      <c r="A897" t="s">
        <v>1814</v>
      </c>
      <c r="B897" t="s">
        <v>1815</v>
      </c>
      <c r="C897" t="s">
        <v>83</v>
      </c>
      <c r="D897" t="s">
        <v>23</v>
      </c>
      <c r="E897" t="s">
        <v>44</v>
      </c>
      <c r="F897" t="s">
        <v>17</v>
      </c>
      <c r="G897" t="s">
        <v>24</v>
      </c>
      <c r="H897">
        <v>53</v>
      </c>
      <c r="I897" t="str">
        <f>IF(TBL[[#This Row],[Age]]&gt;=60, "Old", IF(TBL[[#This Row],[Age]]&gt;=30, "Adult", "Young"))</f>
        <v>Adult</v>
      </c>
      <c r="J897" s="1">
        <v>42985</v>
      </c>
      <c r="K897">
        <f t="shared" si="13"/>
        <v>2017</v>
      </c>
      <c r="L897">
        <f>MONTH(TBL[[#This Row],[Hire Date]])</f>
        <v>9</v>
      </c>
      <c r="M897" s="7">
        <v>46727</v>
      </c>
      <c r="N897" s="8">
        <v>0</v>
      </c>
      <c r="O897" t="s">
        <v>19</v>
      </c>
      <c r="P897" t="s">
        <v>29</v>
      </c>
      <c r="Q897" s="1">
        <v>43251</v>
      </c>
    </row>
    <row r="898" spans="1:17" x14ac:dyDescent="0.35">
      <c r="A898" t="s">
        <v>1816</v>
      </c>
      <c r="B898" t="s">
        <v>1817</v>
      </c>
      <c r="C898" t="s">
        <v>61</v>
      </c>
      <c r="D898" t="s">
        <v>23</v>
      </c>
      <c r="E898" t="s">
        <v>44</v>
      </c>
      <c r="F898" t="s">
        <v>28</v>
      </c>
      <c r="G898" t="s">
        <v>24</v>
      </c>
      <c r="H898">
        <v>27</v>
      </c>
      <c r="I898" t="str">
        <f>IF(TBL[[#This Row],[Age]]&gt;=60, "Old", IF(TBL[[#This Row],[Age]]&gt;=30, "Adult", "Young"))</f>
        <v>Young</v>
      </c>
      <c r="J898" s="1">
        <v>44302</v>
      </c>
      <c r="K898">
        <f t="shared" ref="K898:K961" si="14">YEAR(--J898)</f>
        <v>2021</v>
      </c>
      <c r="L898">
        <f>MONTH(TBL[[#This Row],[Hire Date]])</f>
        <v>4</v>
      </c>
      <c r="M898" s="7">
        <v>133400</v>
      </c>
      <c r="N898" s="8">
        <v>0.11</v>
      </c>
      <c r="O898" t="s">
        <v>19</v>
      </c>
      <c r="P898" t="s">
        <v>39</v>
      </c>
      <c r="Q898" s="1" t="s">
        <v>21</v>
      </c>
    </row>
    <row r="899" spans="1:17" x14ac:dyDescent="0.35">
      <c r="A899" t="s">
        <v>217</v>
      </c>
      <c r="B899" t="s">
        <v>1818</v>
      </c>
      <c r="C899" t="s">
        <v>88</v>
      </c>
      <c r="D899" t="s">
        <v>27</v>
      </c>
      <c r="E899" t="s">
        <v>44</v>
      </c>
      <c r="F899" t="s">
        <v>17</v>
      </c>
      <c r="G899" t="s">
        <v>24</v>
      </c>
      <c r="H899">
        <v>39</v>
      </c>
      <c r="I899" t="str">
        <f>IF(TBL[[#This Row],[Age]]&gt;=60, "Old", IF(TBL[[#This Row],[Age]]&gt;=30, "Adult", "Young"))</f>
        <v>Adult</v>
      </c>
      <c r="J899" s="1">
        <v>43943</v>
      </c>
      <c r="K899">
        <f t="shared" si="14"/>
        <v>2020</v>
      </c>
      <c r="L899">
        <f>MONTH(TBL[[#This Row],[Hire Date]])</f>
        <v>4</v>
      </c>
      <c r="M899" s="7">
        <v>90535</v>
      </c>
      <c r="N899" s="8">
        <v>0</v>
      </c>
      <c r="O899" t="s">
        <v>19</v>
      </c>
      <c r="P899" t="s">
        <v>45</v>
      </c>
      <c r="Q899" s="1" t="s">
        <v>21</v>
      </c>
    </row>
    <row r="900" spans="1:17" x14ac:dyDescent="0.35">
      <c r="A900" t="s">
        <v>1819</v>
      </c>
      <c r="B900" t="s">
        <v>1820</v>
      </c>
      <c r="C900" t="s">
        <v>42</v>
      </c>
      <c r="D900" t="s">
        <v>43</v>
      </c>
      <c r="E900" t="s">
        <v>44</v>
      </c>
      <c r="F900" t="s">
        <v>28</v>
      </c>
      <c r="G900" t="s">
        <v>24</v>
      </c>
      <c r="H900">
        <v>55</v>
      </c>
      <c r="I900" t="str">
        <f>IF(TBL[[#This Row],[Age]]&gt;=60, "Old", IF(TBL[[#This Row],[Age]]&gt;=30, "Adult", "Young"))</f>
        <v>Adult</v>
      </c>
      <c r="J900" s="1">
        <v>38909</v>
      </c>
      <c r="K900">
        <f t="shared" si="14"/>
        <v>2006</v>
      </c>
      <c r="L900">
        <f>MONTH(TBL[[#This Row],[Hire Date]])</f>
        <v>7</v>
      </c>
      <c r="M900" s="7">
        <v>93343</v>
      </c>
      <c r="N900" s="8">
        <v>0</v>
      </c>
      <c r="O900" t="s">
        <v>33</v>
      </c>
      <c r="P900" t="s">
        <v>80</v>
      </c>
      <c r="Q900" s="1" t="s">
        <v>21</v>
      </c>
    </row>
    <row r="901" spans="1:17" x14ac:dyDescent="0.35">
      <c r="A901" t="s">
        <v>1816</v>
      </c>
      <c r="B901" t="s">
        <v>1821</v>
      </c>
      <c r="C901" t="s">
        <v>22</v>
      </c>
      <c r="D901" t="s">
        <v>23</v>
      </c>
      <c r="E901" t="s">
        <v>32</v>
      </c>
      <c r="F901" t="s">
        <v>17</v>
      </c>
      <c r="G901" t="s">
        <v>24</v>
      </c>
      <c r="H901">
        <v>44</v>
      </c>
      <c r="I901" t="str">
        <f>IF(TBL[[#This Row],[Age]]&gt;=60, "Old", IF(TBL[[#This Row],[Age]]&gt;=30, "Adult", "Young"))</f>
        <v>Adult</v>
      </c>
      <c r="J901" s="1">
        <v>38771</v>
      </c>
      <c r="K901">
        <f t="shared" si="14"/>
        <v>2006</v>
      </c>
      <c r="L901">
        <f>MONTH(TBL[[#This Row],[Hire Date]])</f>
        <v>2</v>
      </c>
      <c r="M901" s="7">
        <v>63705</v>
      </c>
      <c r="N901" s="8">
        <v>0</v>
      </c>
      <c r="O901" t="s">
        <v>19</v>
      </c>
      <c r="P901" t="s">
        <v>45</v>
      </c>
      <c r="Q901" s="1" t="s">
        <v>21</v>
      </c>
    </row>
    <row r="902" spans="1:17" x14ac:dyDescent="0.35">
      <c r="A902" t="s">
        <v>168</v>
      </c>
      <c r="B902" t="s">
        <v>1822</v>
      </c>
      <c r="C902" t="s">
        <v>14</v>
      </c>
      <c r="D902" t="s">
        <v>50</v>
      </c>
      <c r="E902" t="s">
        <v>32</v>
      </c>
      <c r="F902" t="s">
        <v>28</v>
      </c>
      <c r="G902" t="s">
        <v>51</v>
      </c>
      <c r="H902">
        <v>48</v>
      </c>
      <c r="I902" t="str">
        <f>IF(TBL[[#This Row],[Age]]&gt;=60, "Old", IF(TBL[[#This Row],[Age]]&gt;=30, "Adult", "Young"))</f>
        <v>Adult</v>
      </c>
      <c r="J902" s="1">
        <v>36584</v>
      </c>
      <c r="K902">
        <f t="shared" si="14"/>
        <v>2000</v>
      </c>
      <c r="L902">
        <f>MONTH(TBL[[#This Row],[Hire Date]])</f>
        <v>2</v>
      </c>
      <c r="M902" s="7">
        <v>258081</v>
      </c>
      <c r="N902" s="8">
        <v>0.3</v>
      </c>
      <c r="O902" t="s">
        <v>19</v>
      </c>
      <c r="P902" t="s">
        <v>20</v>
      </c>
      <c r="Q902" s="1" t="s">
        <v>21</v>
      </c>
    </row>
    <row r="903" spans="1:17" x14ac:dyDescent="0.35">
      <c r="A903" t="s">
        <v>1823</v>
      </c>
      <c r="B903" t="s">
        <v>392</v>
      </c>
      <c r="C903" t="s">
        <v>83</v>
      </c>
      <c r="D903" t="s">
        <v>23</v>
      </c>
      <c r="E903" t="s">
        <v>16</v>
      </c>
      <c r="F903" t="s">
        <v>28</v>
      </c>
      <c r="G903" t="s">
        <v>47</v>
      </c>
      <c r="H903">
        <v>48</v>
      </c>
      <c r="I903" t="str">
        <f>IF(TBL[[#This Row],[Age]]&gt;=60, "Old", IF(TBL[[#This Row],[Age]]&gt;=30, "Adult", "Young"))</f>
        <v>Adult</v>
      </c>
      <c r="J903" s="1">
        <v>44095</v>
      </c>
      <c r="K903">
        <f t="shared" si="14"/>
        <v>2020</v>
      </c>
      <c r="L903">
        <f>MONTH(TBL[[#This Row],[Hire Date]])</f>
        <v>9</v>
      </c>
      <c r="M903" s="7">
        <v>54654</v>
      </c>
      <c r="N903" s="8">
        <v>0</v>
      </c>
      <c r="O903" t="s">
        <v>19</v>
      </c>
      <c r="P903" t="s">
        <v>39</v>
      </c>
      <c r="Q903" s="1" t="s">
        <v>21</v>
      </c>
    </row>
    <row r="904" spans="1:17" x14ac:dyDescent="0.35">
      <c r="A904" t="s">
        <v>1824</v>
      </c>
      <c r="B904" t="s">
        <v>1825</v>
      </c>
      <c r="C904" t="s">
        <v>68</v>
      </c>
      <c r="D904" t="s">
        <v>50</v>
      </c>
      <c r="E904" t="s">
        <v>36</v>
      </c>
      <c r="F904" t="s">
        <v>28</v>
      </c>
      <c r="G904" t="s">
        <v>18</v>
      </c>
      <c r="H904">
        <v>54</v>
      </c>
      <c r="I904" t="str">
        <f>IF(TBL[[#This Row],[Age]]&gt;=60, "Old", IF(TBL[[#This Row],[Age]]&gt;=30, "Adult", "Young"))</f>
        <v>Adult</v>
      </c>
      <c r="J904" s="1">
        <v>36062</v>
      </c>
      <c r="K904">
        <f t="shared" si="14"/>
        <v>1998</v>
      </c>
      <c r="L904">
        <f>MONTH(TBL[[#This Row],[Hire Date]])</f>
        <v>9</v>
      </c>
      <c r="M904" s="7">
        <v>58006</v>
      </c>
      <c r="N904" s="8">
        <v>0</v>
      </c>
      <c r="O904" t="s">
        <v>19</v>
      </c>
      <c r="P904" t="s">
        <v>63</v>
      </c>
      <c r="Q904" s="1" t="s">
        <v>21</v>
      </c>
    </row>
    <row r="905" spans="1:17" x14ac:dyDescent="0.35">
      <c r="A905" t="s">
        <v>205</v>
      </c>
      <c r="B905" t="s">
        <v>985</v>
      </c>
      <c r="C905" t="s">
        <v>61</v>
      </c>
      <c r="D905" t="s">
        <v>15</v>
      </c>
      <c r="E905" t="s">
        <v>36</v>
      </c>
      <c r="F905" t="s">
        <v>17</v>
      </c>
      <c r="G905" t="s">
        <v>24</v>
      </c>
      <c r="H905">
        <v>42</v>
      </c>
      <c r="I905" t="str">
        <f>IF(TBL[[#This Row],[Age]]&gt;=60, "Old", IF(TBL[[#This Row],[Age]]&gt;=30, "Adult", "Young"))</f>
        <v>Adult</v>
      </c>
      <c r="J905" s="1">
        <v>40620</v>
      </c>
      <c r="K905">
        <f t="shared" si="14"/>
        <v>2011</v>
      </c>
      <c r="L905">
        <f>MONTH(TBL[[#This Row],[Hire Date]])</f>
        <v>3</v>
      </c>
      <c r="M905" s="7">
        <v>150034</v>
      </c>
      <c r="N905" s="8">
        <v>0.12</v>
      </c>
      <c r="O905" t="s">
        <v>33</v>
      </c>
      <c r="P905" t="s">
        <v>60</v>
      </c>
      <c r="Q905" s="1" t="s">
        <v>21</v>
      </c>
    </row>
    <row r="906" spans="1:17" x14ac:dyDescent="0.35">
      <c r="A906" t="s">
        <v>1761</v>
      </c>
      <c r="B906" t="s">
        <v>1826</v>
      </c>
      <c r="C906" t="s">
        <v>40</v>
      </c>
      <c r="D906" t="s">
        <v>23</v>
      </c>
      <c r="E906" t="s">
        <v>44</v>
      </c>
      <c r="F906" t="s">
        <v>17</v>
      </c>
      <c r="G906" t="s">
        <v>24</v>
      </c>
      <c r="H906">
        <v>38</v>
      </c>
      <c r="I906" t="str">
        <f>IF(TBL[[#This Row],[Age]]&gt;=60, "Old", IF(TBL[[#This Row],[Age]]&gt;=30, "Adult", "Young"))</f>
        <v>Adult</v>
      </c>
      <c r="J906" s="1">
        <v>39232</v>
      </c>
      <c r="K906">
        <f t="shared" si="14"/>
        <v>2007</v>
      </c>
      <c r="L906">
        <f>MONTH(TBL[[#This Row],[Hire Date]])</f>
        <v>5</v>
      </c>
      <c r="M906" s="7">
        <v>198562</v>
      </c>
      <c r="N906" s="8">
        <v>0.22</v>
      </c>
      <c r="O906" t="s">
        <v>19</v>
      </c>
      <c r="P906" t="s">
        <v>63</v>
      </c>
      <c r="Q906" s="1" t="s">
        <v>21</v>
      </c>
    </row>
    <row r="907" spans="1:17" x14ac:dyDescent="0.35">
      <c r="A907" t="s">
        <v>171</v>
      </c>
      <c r="B907" t="s">
        <v>1827</v>
      </c>
      <c r="C907" t="s">
        <v>94</v>
      </c>
      <c r="D907" t="s">
        <v>50</v>
      </c>
      <c r="E907" t="s">
        <v>16</v>
      </c>
      <c r="F907" t="s">
        <v>17</v>
      </c>
      <c r="G907" t="s">
        <v>47</v>
      </c>
      <c r="H907">
        <v>40</v>
      </c>
      <c r="I907" t="str">
        <f>IF(TBL[[#This Row],[Age]]&gt;=60, "Old", IF(TBL[[#This Row],[Age]]&gt;=30, "Adult", "Young"))</f>
        <v>Adult</v>
      </c>
      <c r="J907" s="1">
        <v>39960</v>
      </c>
      <c r="K907">
        <f t="shared" si="14"/>
        <v>2009</v>
      </c>
      <c r="L907">
        <f>MONTH(TBL[[#This Row],[Hire Date]])</f>
        <v>5</v>
      </c>
      <c r="M907" s="7">
        <v>62411</v>
      </c>
      <c r="N907" s="8">
        <v>0</v>
      </c>
      <c r="O907" t="s">
        <v>19</v>
      </c>
      <c r="P907" t="s">
        <v>45</v>
      </c>
      <c r="Q907" s="1">
        <v>44422</v>
      </c>
    </row>
    <row r="908" spans="1:17" x14ac:dyDescent="0.35">
      <c r="A908" t="s">
        <v>214</v>
      </c>
      <c r="B908" t="s">
        <v>1828</v>
      </c>
      <c r="C908" t="s">
        <v>97</v>
      </c>
      <c r="D908" t="s">
        <v>31</v>
      </c>
      <c r="E908" t="s">
        <v>16</v>
      </c>
      <c r="F908" t="s">
        <v>28</v>
      </c>
      <c r="G908" t="s">
        <v>24</v>
      </c>
      <c r="H908">
        <v>57</v>
      </c>
      <c r="I908" t="str">
        <f>IF(TBL[[#This Row],[Age]]&gt;=60, "Old", IF(TBL[[#This Row],[Age]]&gt;=30, "Adult", "Young"))</f>
        <v>Adult</v>
      </c>
      <c r="J908" s="1">
        <v>33612</v>
      </c>
      <c r="K908">
        <f t="shared" si="14"/>
        <v>1992</v>
      </c>
      <c r="L908">
        <f>MONTH(TBL[[#This Row],[Hire Date]])</f>
        <v>1</v>
      </c>
      <c r="M908" s="7">
        <v>111299</v>
      </c>
      <c r="N908" s="8">
        <v>0.12</v>
      </c>
      <c r="O908" t="s">
        <v>19</v>
      </c>
      <c r="P908" t="s">
        <v>45</v>
      </c>
      <c r="Q908" s="1" t="s">
        <v>21</v>
      </c>
    </row>
    <row r="909" spans="1:17" x14ac:dyDescent="0.35">
      <c r="A909" t="s">
        <v>1634</v>
      </c>
      <c r="B909" t="s">
        <v>409</v>
      </c>
      <c r="C909" t="s">
        <v>68</v>
      </c>
      <c r="D909" t="s">
        <v>43</v>
      </c>
      <c r="E909" t="s">
        <v>16</v>
      </c>
      <c r="F909" t="s">
        <v>17</v>
      </c>
      <c r="G909" t="s">
        <v>18</v>
      </c>
      <c r="H909">
        <v>43</v>
      </c>
      <c r="I909" t="str">
        <f>IF(TBL[[#This Row],[Age]]&gt;=60, "Old", IF(TBL[[#This Row],[Age]]&gt;=30, "Adult", "Young"))</f>
        <v>Adult</v>
      </c>
      <c r="J909" s="1">
        <v>43659</v>
      </c>
      <c r="K909">
        <f t="shared" si="14"/>
        <v>2019</v>
      </c>
      <c r="L909">
        <f>MONTH(TBL[[#This Row],[Hire Date]])</f>
        <v>7</v>
      </c>
      <c r="M909" s="7">
        <v>41545</v>
      </c>
      <c r="N909" s="8">
        <v>0</v>
      </c>
      <c r="O909" t="s">
        <v>19</v>
      </c>
      <c r="P909" t="s">
        <v>45</v>
      </c>
      <c r="Q909" s="1" t="s">
        <v>21</v>
      </c>
    </row>
    <row r="910" spans="1:17" x14ac:dyDescent="0.35">
      <c r="A910" t="s">
        <v>106</v>
      </c>
      <c r="B910" t="s">
        <v>1829</v>
      </c>
      <c r="C910" t="s">
        <v>35</v>
      </c>
      <c r="D910" t="s">
        <v>27</v>
      </c>
      <c r="E910" t="s">
        <v>36</v>
      </c>
      <c r="F910" t="s">
        <v>28</v>
      </c>
      <c r="G910" t="s">
        <v>51</v>
      </c>
      <c r="H910">
        <v>26</v>
      </c>
      <c r="I910" t="str">
        <f>IF(TBL[[#This Row],[Age]]&gt;=60, "Old", IF(TBL[[#This Row],[Age]]&gt;=30, "Adult", "Young"))</f>
        <v>Young</v>
      </c>
      <c r="J910" s="1">
        <v>43569</v>
      </c>
      <c r="K910">
        <f t="shared" si="14"/>
        <v>2019</v>
      </c>
      <c r="L910">
        <f>MONTH(TBL[[#This Row],[Hire Date]])</f>
        <v>4</v>
      </c>
      <c r="M910" s="7">
        <v>74467</v>
      </c>
      <c r="N910" s="8">
        <v>0</v>
      </c>
      <c r="O910" t="s">
        <v>19</v>
      </c>
      <c r="P910" t="s">
        <v>29</v>
      </c>
      <c r="Q910" s="1">
        <v>44211</v>
      </c>
    </row>
    <row r="911" spans="1:17" x14ac:dyDescent="0.35">
      <c r="A911" t="s">
        <v>134</v>
      </c>
      <c r="B911" t="s">
        <v>1830</v>
      </c>
      <c r="C911" t="s">
        <v>62</v>
      </c>
      <c r="D911" t="s">
        <v>65</v>
      </c>
      <c r="E911" t="s">
        <v>16</v>
      </c>
      <c r="F911" t="s">
        <v>28</v>
      </c>
      <c r="G911" t="s">
        <v>18</v>
      </c>
      <c r="H911">
        <v>44</v>
      </c>
      <c r="I911" t="str">
        <f>IF(TBL[[#This Row],[Age]]&gt;=60, "Old", IF(TBL[[#This Row],[Age]]&gt;=30, "Adult", "Young"))</f>
        <v>Adult</v>
      </c>
      <c r="J911" s="1">
        <v>37296</v>
      </c>
      <c r="K911">
        <f t="shared" si="14"/>
        <v>2002</v>
      </c>
      <c r="L911">
        <f>MONTH(TBL[[#This Row],[Hire Date]])</f>
        <v>2</v>
      </c>
      <c r="M911" s="7">
        <v>117545</v>
      </c>
      <c r="N911" s="8">
        <v>0.06</v>
      </c>
      <c r="O911" t="s">
        <v>19</v>
      </c>
      <c r="P911" t="s">
        <v>39</v>
      </c>
      <c r="Q911" s="1" t="s">
        <v>21</v>
      </c>
    </row>
    <row r="912" spans="1:17" x14ac:dyDescent="0.35">
      <c r="A912" t="s">
        <v>1831</v>
      </c>
      <c r="B912" t="s">
        <v>1832</v>
      </c>
      <c r="C912" t="s">
        <v>62</v>
      </c>
      <c r="D912" t="s">
        <v>23</v>
      </c>
      <c r="E912" t="s">
        <v>44</v>
      </c>
      <c r="F912" t="s">
        <v>28</v>
      </c>
      <c r="G912" t="s">
        <v>24</v>
      </c>
      <c r="H912">
        <v>50</v>
      </c>
      <c r="I912" t="str">
        <f>IF(TBL[[#This Row],[Age]]&gt;=60, "Old", IF(TBL[[#This Row],[Age]]&gt;=30, "Adult", "Young"))</f>
        <v>Adult</v>
      </c>
      <c r="J912" s="1">
        <v>40983</v>
      </c>
      <c r="K912">
        <f t="shared" si="14"/>
        <v>2012</v>
      </c>
      <c r="L912">
        <f>MONTH(TBL[[#This Row],[Hire Date]])</f>
        <v>3</v>
      </c>
      <c r="M912" s="7">
        <v>117226</v>
      </c>
      <c r="N912" s="8">
        <v>0.08</v>
      </c>
      <c r="O912" t="s">
        <v>19</v>
      </c>
      <c r="P912" t="s">
        <v>39</v>
      </c>
      <c r="Q912" s="1" t="s">
        <v>21</v>
      </c>
    </row>
    <row r="913" spans="1:17" x14ac:dyDescent="0.35">
      <c r="A913" t="s">
        <v>1833</v>
      </c>
      <c r="B913" t="s">
        <v>1834</v>
      </c>
      <c r="C913" t="s">
        <v>68</v>
      </c>
      <c r="D913" t="s">
        <v>65</v>
      </c>
      <c r="E913" t="s">
        <v>32</v>
      </c>
      <c r="F913" t="s">
        <v>17</v>
      </c>
      <c r="G913" t="s">
        <v>51</v>
      </c>
      <c r="H913">
        <v>26</v>
      </c>
      <c r="I913" t="str">
        <f>IF(TBL[[#This Row],[Age]]&gt;=60, "Old", IF(TBL[[#This Row],[Age]]&gt;=30, "Adult", "Young"))</f>
        <v>Young</v>
      </c>
      <c r="J913" s="1">
        <v>43489</v>
      </c>
      <c r="K913">
        <f t="shared" si="14"/>
        <v>2019</v>
      </c>
      <c r="L913">
        <f>MONTH(TBL[[#This Row],[Hire Date]])</f>
        <v>1</v>
      </c>
      <c r="M913" s="7">
        <v>55767</v>
      </c>
      <c r="N913" s="8">
        <v>0</v>
      </c>
      <c r="O913" t="s">
        <v>19</v>
      </c>
      <c r="P913" t="s">
        <v>39</v>
      </c>
      <c r="Q913" s="1" t="s">
        <v>21</v>
      </c>
    </row>
    <row r="914" spans="1:17" x14ac:dyDescent="0.35">
      <c r="A914" t="s">
        <v>1835</v>
      </c>
      <c r="B914" t="s">
        <v>1836</v>
      </c>
      <c r="C914" t="s">
        <v>64</v>
      </c>
      <c r="D914" t="s">
        <v>50</v>
      </c>
      <c r="E914" t="s">
        <v>36</v>
      </c>
      <c r="F914" t="s">
        <v>17</v>
      </c>
      <c r="G914" t="s">
        <v>18</v>
      </c>
      <c r="H914">
        <v>29</v>
      </c>
      <c r="I914" t="str">
        <f>IF(TBL[[#This Row],[Age]]&gt;=60, "Old", IF(TBL[[#This Row],[Age]]&gt;=30, "Adult", "Young"))</f>
        <v>Young</v>
      </c>
      <c r="J914" s="1">
        <v>42691</v>
      </c>
      <c r="K914">
        <f t="shared" si="14"/>
        <v>2016</v>
      </c>
      <c r="L914">
        <f>MONTH(TBL[[#This Row],[Hire Date]])</f>
        <v>11</v>
      </c>
      <c r="M914" s="7">
        <v>60930</v>
      </c>
      <c r="N914" s="8">
        <v>0</v>
      </c>
      <c r="O914" t="s">
        <v>19</v>
      </c>
      <c r="P914" t="s">
        <v>25</v>
      </c>
      <c r="Q914" s="1" t="s">
        <v>21</v>
      </c>
    </row>
    <row r="915" spans="1:17" x14ac:dyDescent="0.35">
      <c r="A915" t="s">
        <v>1837</v>
      </c>
      <c r="B915" t="s">
        <v>1838</v>
      </c>
      <c r="C915" t="s">
        <v>40</v>
      </c>
      <c r="D915" t="s">
        <v>50</v>
      </c>
      <c r="E915" t="s">
        <v>44</v>
      </c>
      <c r="F915" t="s">
        <v>17</v>
      </c>
      <c r="G915" t="s">
        <v>51</v>
      </c>
      <c r="H915">
        <v>27</v>
      </c>
      <c r="I915" t="str">
        <f>IF(TBL[[#This Row],[Age]]&gt;=60, "Old", IF(TBL[[#This Row],[Age]]&gt;=30, "Adult", "Young"))</f>
        <v>Young</v>
      </c>
      <c r="J915" s="1">
        <v>43397</v>
      </c>
      <c r="K915">
        <f t="shared" si="14"/>
        <v>2018</v>
      </c>
      <c r="L915">
        <f>MONTH(TBL[[#This Row],[Hire Date]])</f>
        <v>10</v>
      </c>
      <c r="M915" s="7">
        <v>154973</v>
      </c>
      <c r="N915" s="8">
        <v>0.28999999999999998</v>
      </c>
      <c r="O915" t="s">
        <v>52</v>
      </c>
      <c r="P915" t="s">
        <v>53</v>
      </c>
      <c r="Q915" s="1" t="s">
        <v>21</v>
      </c>
    </row>
    <row r="916" spans="1:17" x14ac:dyDescent="0.35">
      <c r="A916" t="s">
        <v>1839</v>
      </c>
      <c r="B916" t="s">
        <v>1840</v>
      </c>
      <c r="C916" t="s">
        <v>38</v>
      </c>
      <c r="D916" t="s">
        <v>27</v>
      </c>
      <c r="E916" t="s">
        <v>36</v>
      </c>
      <c r="F916" t="s">
        <v>17</v>
      </c>
      <c r="G916" t="s">
        <v>24</v>
      </c>
      <c r="H916">
        <v>33</v>
      </c>
      <c r="I916" t="str">
        <f>IF(TBL[[#This Row],[Age]]&gt;=60, "Old", IF(TBL[[#This Row],[Age]]&gt;=30, "Adult", "Young"))</f>
        <v>Adult</v>
      </c>
      <c r="J916" s="1">
        <v>43029</v>
      </c>
      <c r="K916">
        <f t="shared" si="14"/>
        <v>2017</v>
      </c>
      <c r="L916">
        <f>MONTH(TBL[[#This Row],[Hire Date]])</f>
        <v>10</v>
      </c>
      <c r="M916" s="7">
        <v>69332</v>
      </c>
      <c r="N916" s="8">
        <v>0</v>
      </c>
      <c r="O916" t="s">
        <v>19</v>
      </c>
      <c r="P916" t="s">
        <v>29</v>
      </c>
      <c r="Q916" s="1" t="s">
        <v>21</v>
      </c>
    </row>
    <row r="917" spans="1:17" x14ac:dyDescent="0.35">
      <c r="A917" t="s">
        <v>1841</v>
      </c>
      <c r="B917" t="s">
        <v>1842</v>
      </c>
      <c r="C917" t="s">
        <v>84</v>
      </c>
      <c r="D917" t="s">
        <v>31</v>
      </c>
      <c r="E917" t="s">
        <v>16</v>
      </c>
      <c r="F917" t="s">
        <v>17</v>
      </c>
      <c r="G917" t="s">
        <v>24</v>
      </c>
      <c r="H917">
        <v>59</v>
      </c>
      <c r="I917" t="str">
        <f>IF(TBL[[#This Row],[Age]]&gt;=60, "Old", IF(TBL[[#This Row],[Age]]&gt;=30, "Adult", "Young"))</f>
        <v>Adult</v>
      </c>
      <c r="J917" s="1">
        <v>36990</v>
      </c>
      <c r="K917">
        <f t="shared" si="14"/>
        <v>2001</v>
      </c>
      <c r="L917">
        <f>MONTH(TBL[[#This Row],[Hire Date]])</f>
        <v>4</v>
      </c>
      <c r="M917" s="7">
        <v>119699</v>
      </c>
      <c r="N917" s="8">
        <v>0</v>
      </c>
      <c r="O917" t="s">
        <v>33</v>
      </c>
      <c r="P917" t="s">
        <v>74</v>
      </c>
      <c r="Q917" s="1" t="s">
        <v>21</v>
      </c>
    </row>
    <row r="918" spans="1:17" x14ac:dyDescent="0.35">
      <c r="A918" t="s">
        <v>1843</v>
      </c>
      <c r="B918" t="s">
        <v>1844</v>
      </c>
      <c r="C918" t="s">
        <v>40</v>
      </c>
      <c r="D918" t="s">
        <v>23</v>
      </c>
      <c r="E918" t="s">
        <v>44</v>
      </c>
      <c r="F918" t="s">
        <v>17</v>
      </c>
      <c r="G918" t="s">
        <v>51</v>
      </c>
      <c r="H918">
        <v>40</v>
      </c>
      <c r="I918" t="str">
        <f>IF(TBL[[#This Row],[Age]]&gt;=60, "Old", IF(TBL[[#This Row],[Age]]&gt;=30, "Adult", "Young"))</f>
        <v>Adult</v>
      </c>
      <c r="J918" s="1">
        <v>44094</v>
      </c>
      <c r="K918">
        <f t="shared" si="14"/>
        <v>2020</v>
      </c>
      <c r="L918">
        <f>MONTH(TBL[[#This Row],[Hire Date]])</f>
        <v>9</v>
      </c>
      <c r="M918" s="7">
        <v>198176</v>
      </c>
      <c r="N918" s="8">
        <v>0.17</v>
      </c>
      <c r="O918" t="s">
        <v>52</v>
      </c>
      <c r="P918" t="s">
        <v>81</v>
      </c>
      <c r="Q918" s="1" t="s">
        <v>21</v>
      </c>
    </row>
    <row r="919" spans="1:17" x14ac:dyDescent="0.35">
      <c r="A919" t="s">
        <v>1845</v>
      </c>
      <c r="B919" t="s">
        <v>1846</v>
      </c>
      <c r="C919" t="s">
        <v>64</v>
      </c>
      <c r="D919" t="s">
        <v>15</v>
      </c>
      <c r="E919" t="s">
        <v>16</v>
      </c>
      <c r="F919" t="s">
        <v>17</v>
      </c>
      <c r="G919" t="s">
        <v>51</v>
      </c>
      <c r="H919">
        <v>45</v>
      </c>
      <c r="I919" t="str">
        <f>IF(TBL[[#This Row],[Age]]&gt;=60, "Old", IF(TBL[[#This Row],[Age]]&gt;=30, "Adult", "Young"))</f>
        <v>Adult</v>
      </c>
      <c r="J919" s="1">
        <v>41127</v>
      </c>
      <c r="K919">
        <f t="shared" si="14"/>
        <v>2012</v>
      </c>
      <c r="L919">
        <f>MONTH(TBL[[#This Row],[Hire Date]])</f>
        <v>8</v>
      </c>
      <c r="M919" s="7">
        <v>58586</v>
      </c>
      <c r="N919" s="8">
        <v>0</v>
      </c>
      <c r="O919" t="s">
        <v>52</v>
      </c>
      <c r="P919" t="s">
        <v>53</v>
      </c>
      <c r="Q919" s="1" t="s">
        <v>21</v>
      </c>
    </row>
    <row r="920" spans="1:17" x14ac:dyDescent="0.35">
      <c r="A920" t="s">
        <v>1847</v>
      </c>
      <c r="B920" t="s">
        <v>1848</v>
      </c>
      <c r="C920" t="s">
        <v>49</v>
      </c>
      <c r="D920" t="s">
        <v>50</v>
      </c>
      <c r="E920" t="s">
        <v>32</v>
      </c>
      <c r="F920" t="s">
        <v>28</v>
      </c>
      <c r="G920" t="s">
        <v>24</v>
      </c>
      <c r="H920">
        <v>38</v>
      </c>
      <c r="I920" t="str">
        <f>IF(TBL[[#This Row],[Age]]&gt;=60, "Old", IF(TBL[[#This Row],[Age]]&gt;=30, "Adult", "Young"))</f>
        <v>Adult</v>
      </c>
      <c r="J920" s="1">
        <v>40875</v>
      </c>
      <c r="K920">
        <f t="shared" si="14"/>
        <v>2011</v>
      </c>
      <c r="L920">
        <f>MONTH(TBL[[#This Row],[Hire Date]])</f>
        <v>11</v>
      </c>
      <c r="M920" s="7">
        <v>74010</v>
      </c>
      <c r="N920" s="8">
        <v>0</v>
      </c>
      <c r="O920" t="s">
        <v>19</v>
      </c>
      <c r="P920" t="s">
        <v>20</v>
      </c>
      <c r="Q920" s="1" t="s">
        <v>21</v>
      </c>
    </row>
    <row r="921" spans="1:17" x14ac:dyDescent="0.35">
      <c r="A921" t="s">
        <v>1849</v>
      </c>
      <c r="B921" t="s">
        <v>1850</v>
      </c>
      <c r="C921" t="s">
        <v>49</v>
      </c>
      <c r="D921" t="s">
        <v>50</v>
      </c>
      <c r="E921" t="s">
        <v>44</v>
      </c>
      <c r="F921" t="s">
        <v>28</v>
      </c>
      <c r="G921" t="s">
        <v>18</v>
      </c>
      <c r="H921">
        <v>32</v>
      </c>
      <c r="I921" t="str">
        <f>IF(TBL[[#This Row],[Age]]&gt;=60, "Old", IF(TBL[[#This Row],[Age]]&gt;=30, "Adult", "Young"))</f>
        <v>Adult</v>
      </c>
      <c r="J921" s="1">
        <v>43864</v>
      </c>
      <c r="K921">
        <f t="shared" si="14"/>
        <v>2020</v>
      </c>
      <c r="L921">
        <f>MONTH(TBL[[#This Row],[Hire Date]])</f>
        <v>2</v>
      </c>
      <c r="M921" s="7">
        <v>96598</v>
      </c>
      <c r="N921" s="8">
        <v>0</v>
      </c>
      <c r="O921" t="s">
        <v>19</v>
      </c>
      <c r="P921" t="s">
        <v>39</v>
      </c>
      <c r="Q921" s="1" t="s">
        <v>21</v>
      </c>
    </row>
    <row r="922" spans="1:17" x14ac:dyDescent="0.35">
      <c r="A922" t="s">
        <v>1532</v>
      </c>
      <c r="B922" t="s">
        <v>1851</v>
      </c>
      <c r="C922" t="s">
        <v>62</v>
      </c>
      <c r="D922" t="s">
        <v>50</v>
      </c>
      <c r="E922" t="s">
        <v>44</v>
      </c>
      <c r="F922" t="s">
        <v>17</v>
      </c>
      <c r="G922" t="s">
        <v>24</v>
      </c>
      <c r="H922">
        <v>64</v>
      </c>
      <c r="I922" t="str">
        <f>IF(TBL[[#This Row],[Age]]&gt;=60, "Old", IF(TBL[[#This Row],[Age]]&gt;=30, "Adult", "Young"))</f>
        <v>Old</v>
      </c>
      <c r="J922" s="1">
        <v>37762</v>
      </c>
      <c r="K922">
        <f t="shared" si="14"/>
        <v>2003</v>
      </c>
      <c r="L922">
        <f>MONTH(TBL[[#This Row],[Hire Date]])</f>
        <v>5</v>
      </c>
      <c r="M922" s="7">
        <v>106444</v>
      </c>
      <c r="N922" s="8">
        <v>0.05</v>
      </c>
      <c r="O922" t="s">
        <v>19</v>
      </c>
      <c r="P922" t="s">
        <v>39</v>
      </c>
      <c r="Q922" s="1" t="s">
        <v>21</v>
      </c>
    </row>
    <row r="923" spans="1:17" x14ac:dyDescent="0.35">
      <c r="A923" t="s">
        <v>1852</v>
      </c>
      <c r="B923" t="s">
        <v>1853</v>
      </c>
      <c r="C923" t="s">
        <v>40</v>
      </c>
      <c r="D923" t="s">
        <v>15</v>
      </c>
      <c r="E923" t="s">
        <v>32</v>
      </c>
      <c r="F923" t="s">
        <v>28</v>
      </c>
      <c r="G923" t="s">
        <v>51</v>
      </c>
      <c r="H923">
        <v>31</v>
      </c>
      <c r="I923" t="str">
        <f>IF(TBL[[#This Row],[Age]]&gt;=60, "Old", IF(TBL[[#This Row],[Age]]&gt;=30, "Adult", "Young"))</f>
        <v>Adult</v>
      </c>
      <c r="J923" s="1">
        <v>42957</v>
      </c>
      <c r="K923">
        <f t="shared" si="14"/>
        <v>2017</v>
      </c>
      <c r="L923">
        <f>MONTH(TBL[[#This Row],[Hire Date]])</f>
        <v>8</v>
      </c>
      <c r="M923" s="7">
        <v>156931</v>
      </c>
      <c r="N923" s="8">
        <v>0.28000000000000003</v>
      </c>
      <c r="O923" t="s">
        <v>19</v>
      </c>
      <c r="P923" t="s">
        <v>63</v>
      </c>
      <c r="Q923" s="1" t="s">
        <v>21</v>
      </c>
    </row>
    <row r="924" spans="1:17" x14ac:dyDescent="0.35">
      <c r="A924" t="s">
        <v>1854</v>
      </c>
      <c r="B924" t="s">
        <v>1855</v>
      </c>
      <c r="C924" t="s">
        <v>40</v>
      </c>
      <c r="D924" t="s">
        <v>43</v>
      </c>
      <c r="E924" t="s">
        <v>16</v>
      </c>
      <c r="F924" t="s">
        <v>17</v>
      </c>
      <c r="G924" t="s">
        <v>51</v>
      </c>
      <c r="H924">
        <v>43</v>
      </c>
      <c r="I924" t="str">
        <f>IF(TBL[[#This Row],[Age]]&gt;=60, "Old", IF(TBL[[#This Row],[Age]]&gt;=30, "Adult", "Young"))</f>
        <v>Adult</v>
      </c>
      <c r="J924" s="1">
        <v>41928</v>
      </c>
      <c r="K924">
        <f t="shared" si="14"/>
        <v>2014</v>
      </c>
      <c r="L924">
        <f>MONTH(TBL[[#This Row],[Hire Date]])</f>
        <v>10</v>
      </c>
      <c r="M924" s="7">
        <v>171360</v>
      </c>
      <c r="N924" s="8">
        <v>0.23</v>
      </c>
      <c r="O924" t="s">
        <v>52</v>
      </c>
      <c r="P924" t="s">
        <v>81</v>
      </c>
      <c r="Q924" s="1" t="s">
        <v>21</v>
      </c>
    </row>
    <row r="925" spans="1:17" x14ac:dyDescent="0.35">
      <c r="A925" t="s">
        <v>1856</v>
      </c>
      <c r="B925" t="s">
        <v>1857</v>
      </c>
      <c r="C925" t="s">
        <v>26</v>
      </c>
      <c r="D925" t="s">
        <v>27</v>
      </c>
      <c r="E925" t="s">
        <v>16</v>
      </c>
      <c r="F925" t="s">
        <v>17</v>
      </c>
      <c r="G925" t="s">
        <v>18</v>
      </c>
      <c r="H925">
        <v>45</v>
      </c>
      <c r="I925" t="str">
        <f>IF(TBL[[#This Row],[Age]]&gt;=60, "Old", IF(TBL[[#This Row],[Age]]&gt;=30, "Adult", "Young"))</f>
        <v>Adult</v>
      </c>
      <c r="J925" s="1">
        <v>39908</v>
      </c>
      <c r="K925">
        <f t="shared" si="14"/>
        <v>2009</v>
      </c>
      <c r="L925">
        <f>MONTH(TBL[[#This Row],[Hire Date]])</f>
        <v>4</v>
      </c>
      <c r="M925" s="7">
        <v>64505</v>
      </c>
      <c r="N925" s="8">
        <v>0</v>
      </c>
      <c r="O925" t="s">
        <v>19</v>
      </c>
      <c r="P925" t="s">
        <v>45</v>
      </c>
      <c r="Q925" s="1" t="s">
        <v>21</v>
      </c>
    </row>
    <row r="926" spans="1:17" x14ac:dyDescent="0.35">
      <c r="A926" t="s">
        <v>206</v>
      </c>
      <c r="B926" t="s">
        <v>1858</v>
      </c>
      <c r="C926" t="s">
        <v>97</v>
      </c>
      <c r="D926" t="s">
        <v>31</v>
      </c>
      <c r="E926" t="s">
        <v>44</v>
      </c>
      <c r="F926" t="s">
        <v>28</v>
      </c>
      <c r="G926" t="s">
        <v>51</v>
      </c>
      <c r="H926">
        <v>32</v>
      </c>
      <c r="I926" t="str">
        <f>IF(TBL[[#This Row],[Age]]&gt;=60, "Old", IF(TBL[[#This Row],[Age]]&gt;=30, "Adult", "Young"))</f>
        <v>Adult</v>
      </c>
      <c r="J926" s="1">
        <v>44478</v>
      </c>
      <c r="K926">
        <f t="shared" si="14"/>
        <v>2021</v>
      </c>
      <c r="L926">
        <f>MONTH(TBL[[#This Row],[Hire Date]])</f>
        <v>10</v>
      </c>
      <c r="M926" s="7">
        <v>102298</v>
      </c>
      <c r="N926" s="8">
        <v>0.13</v>
      </c>
      <c r="O926" t="s">
        <v>52</v>
      </c>
      <c r="P926" t="s">
        <v>66</v>
      </c>
      <c r="Q926" s="1" t="s">
        <v>21</v>
      </c>
    </row>
    <row r="927" spans="1:17" x14ac:dyDescent="0.35">
      <c r="A927" t="s">
        <v>1859</v>
      </c>
      <c r="B927" t="s">
        <v>1860</v>
      </c>
      <c r="C927" t="s">
        <v>61</v>
      </c>
      <c r="D927" t="s">
        <v>50</v>
      </c>
      <c r="E927" t="s">
        <v>32</v>
      </c>
      <c r="F927" t="s">
        <v>17</v>
      </c>
      <c r="G927" t="s">
        <v>51</v>
      </c>
      <c r="H927">
        <v>27</v>
      </c>
      <c r="I927" t="str">
        <f>IF(TBL[[#This Row],[Age]]&gt;=60, "Old", IF(TBL[[#This Row],[Age]]&gt;=30, "Adult", "Young"))</f>
        <v>Young</v>
      </c>
      <c r="J927" s="1">
        <v>43721</v>
      </c>
      <c r="K927">
        <f t="shared" si="14"/>
        <v>2019</v>
      </c>
      <c r="L927">
        <f>MONTH(TBL[[#This Row],[Hire Date]])</f>
        <v>9</v>
      </c>
      <c r="M927" s="7">
        <v>133297</v>
      </c>
      <c r="N927" s="8">
        <v>0.13</v>
      </c>
      <c r="O927" t="s">
        <v>52</v>
      </c>
      <c r="P927" t="s">
        <v>66</v>
      </c>
      <c r="Q927" s="1" t="s">
        <v>21</v>
      </c>
    </row>
    <row r="928" spans="1:17" x14ac:dyDescent="0.35">
      <c r="A928" t="s">
        <v>194</v>
      </c>
      <c r="B928" t="s">
        <v>1861</v>
      </c>
      <c r="C928" t="s">
        <v>61</v>
      </c>
      <c r="D928" t="s">
        <v>23</v>
      </c>
      <c r="E928" t="s">
        <v>44</v>
      </c>
      <c r="F928" t="s">
        <v>17</v>
      </c>
      <c r="G928" t="s">
        <v>47</v>
      </c>
      <c r="H928">
        <v>25</v>
      </c>
      <c r="I928" t="str">
        <f>IF(TBL[[#This Row],[Age]]&gt;=60, "Old", IF(TBL[[#This Row],[Age]]&gt;=30, "Adult", "Young"))</f>
        <v>Young</v>
      </c>
      <c r="J928" s="1">
        <v>44272</v>
      </c>
      <c r="K928">
        <f t="shared" si="14"/>
        <v>2021</v>
      </c>
      <c r="L928">
        <f>MONTH(TBL[[#This Row],[Hire Date]])</f>
        <v>3</v>
      </c>
      <c r="M928" s="7">
        <v>155080</v>
      </c>
      <c r="N928" s="8">
        <v>0.1</v>
      </c>
      <c r="O928" t="s">
        <v>19</v>
      </c>
      <c r="P928" t="s">
        <v>25</v>
      </c>
      <c r="Q928" s="1" t="s">
        <v>21</v>
      </c>
    </row>
    <row r="929" spans="1:17" x14ac:dyDescent="0.35">
      <c r="A929" t="s">
        <v>1862</v>
      </c>
      <c r="B929" t="s">
        <v>1863</v>
      </c>
      <c r="C929" t="s">
        <v>42</v>
      </c>
      <c r="D929" t="s">
        <v>50</v>
      </c>
      <c r="E929" t="s">
        <v>44</v>
      </c>
      <c r="F929" t="s">
        <v>28</v>
      </c>
      <c r="G929" t="s">
        <v>18</v>
      </c>
      <c r="H929">
        <v>31</v>
      </c>
      <c r="I929" t="str">
        <f>IF(TBL[[#This Row],[Age]]&gt;=60, "Old", IF(TBL[[#This Row],[Age]]&gt;=30, "Adult", "Young"))</f>
        <v>Adult</v>
      </c>
      <c r="J929" s="1">
        <v>43325</v>
      </c>
      <c r="K929">
        <f t="shared" si="14"/>
        <v>2018</v>
      </c>
      <c r="L929">
        <f>MONTH(TBL[[#This Row],[Hire Date]])</f>
        <v>8</v>
      </c>
      <c r="M929" s="7">
        <v>81828</v>
      </c>
      <c r="N929" s="8">
        <v>0</v>
      </c>
      <c r="O929" t="s">
        <v>19</v>
      </c>
      <c r="P929" t="s">
        <v>45</v>
      </c>
      <c r="Q929" s="1" t="s">
        <v>21</v>
      </c>
    </row>
    <row r="930" spans="1:17" x14ac:dyDescent="0.35">
      <c r="A930" t="s">
        <v>1864</v>
      </c>
      <c r="B930" t="s">
        <v>1865</v>
      </c>
      <c r="C930" t="s">
        <v>61</v>
      </c>
      <c r="D930" t="s">
        <v>43</v>
      </c>
      <c r="E930" t="s">
        <v>32</v>
      </c>
      <c r="F930" t="s">
        <v>17</v>
      </c>
      <c r="G930" t="s">
        <v>24</v>
      </c>
      <c r="H930">
        <v>65</v>
      </c>
      <c r="I930" t="str">
        <f>IF(TBL[[#This Row],[Age]]&gt;=60, "Old", IF(TBL[[#This Row],[Age]]&gt;=30, "Adult", "Young"))</f>
        <v>Old</v>
      </c>
      <c r="J930" s="1">
        <v>36823</v>
      </c>
      <c r="K930">
        <f t="shared" si="14"/>
        <v>2000</v>
      </c>
      <c r="L930">
        <f>MONTH(TBL[[#This Row],[Hire Date]])</f>
        <v>10</v>
      </c>
      <c r="M930" s="7">
        <v>149417</v>
      </c>
      <c r="N930" s="8">
        <v>0.13</v>
      </c>
      <c r="O930" t="s">
        <v>33</v>
      </c>
      <c r="P930" t="s">
        <v>34</v>
      </c>
      <c r="Q930" s="1" t="s">
        <v>21</v>
      </c>
    </row>
    <row r="931" spans="1:17" x14ac:dyDescent="0.35">
      <c r="A931" t="s">
        <v>1866</v>
      </c>
      <c r="B931" t="s">
        <v>1867</v>
      </c>
      <c r="C931" t="s">
        <v>62</v>
      </c>
      <c r="D931" t="s">
        <v>50</v>
      </c>
      <c r="E931" t="s">
        <v>32</v>
      </c>
      <c r="F931" t="s">
        <v>28</v>
      </c>
      <c r="G931" t="s">
        <v>51</v>
      </c>
      <c r="H931">
        <v>50</v>
      </c>
      <c r="I931" t="str">
        <f>IF(TBL[[#This Row],[Age]]&gt;=60, "Old", IF(TBL[[#This Row],[Age]]&gt;=30, "Adult", "Young"))</f>
        <v>Adult</v>
      </c>
      <c r="J931" s="1">
        <v>41024</v>
      </c>
      <c r="K931">
        <f t="shared" si="14"/>
        <v>2012</v>
      </c>
      <c r="L931">
        <f>MONTH(TBL[[#This Row],[Hire Date]])</f>
        <v>4</v>
      </c>
      <c r="M931" s="7">
        <v>113269</v>
      </c>
      <c r="N931" s="8">
        <v>0.09</v>
      </c>
      <c r="O931" t="s">
        <v>52</v>
      </c>
      <c r="P931" t="s">
        <v>53</v>
      </c>
      <c r="Q931" s="1" t="s">
        <v>21</v>
      </c>
    </row>
    <row r="932" spans="1:17" x14ac:dyDescent="0.35">
      <c r="A932" t="s">
        <v>384</v>
      </c>
      <c r="B932" t="s">
        <v>1868</v>
      </c>
      <c r="C932" t="s">
        <v>61</v>
      </c>
      <c r="D932" t="s">
        <v>27</v>
      </c>
      <c r="E932" t="s">
        <v>36</v>
      </c>
      <c r="F932" t="s">
        <v>28</v>
      </c>
      <c r="G932" t="s">
        <v>24</v>
      </c>
      <c r="H932">
        <v>46</v>
      </c>
      <c r="I932" t="str">
        <f>IF(TBL[[#This Row],[Age]]&gt;=60, "Old", IF(TBL[[#This Row],[Age]]&gt;=30, "Adult", "Young"))</f>
        <v>Adult</v>
      </c>
      <c r="J932" s="1">
        <v>43085</v>
      </c>
      <c r="K932">
        <f t="shared" si="14"/>
        <v>2017</v>
      </c>
      <c r="L932">
        <f>MONTH(TBL[[#This Row],[Hire Date]])</f>
        <v>12</v>
      </c>
      <c r="M932" s="7">
        <v>136716</v>
      </c>
      <c r="N932" s="8">
        <v>0.12</v>
      </c>
      <c r="O932" t="s">
        <v>19</v>
      </c>
      <c r="P932" t="s">
        <v>25</v>
      </c>
      <c r="Q932" s="1" t="s">
        <v>21</v>
      </c>
    </row>
    <row r="933" spans="1:17" x14ac:dyDescent="0.35">
      <c r="A933" t="s">
        <v>1869</v>
      </c>
      <c r="B933" t="s">
        <v>1870</v>
      </c>
      <c r="C933" t="s">
        <v>61</v>
      </c>
      <c r="D933" t="s">
        <v>50</v>
      </c>
      <c r="E933" t="s">
        <v>44</v>
      </c>
      <c r="F933" t="s">
        <v>28</v>
      </c>
      <c r="G933" t="s">
        <v>51</v>
      </c>
      <c r="H933">
        <v>54</v>
      </c>
      <c r="I933" t="str">
        <f>IF(TBL[[#This Row],[Age]]&gt;=60, "Old", IF(TBL[[#This Row],[Age]]&gt;=30, "Adult", "Young"))</f>
        <v>Adult</v>
      </c>
      <c r="J933" s="1">
        <v>40836</v>
      </c>
      <c r="K933">
        <f t="shared" si="14"/>
        <v>2011</v>
      </c>
      <c r="L933">
        <f>MONTH(TBL[[#This Row],[Hire Date]])</f>
        <v>10</v>
      </c>
      <c r="M933" s="7">
        <v>122644</v>
      </c>
      <c r="N933" s="8">
        <v>0.12</v>
      </c>
      <c r="O933" t="s">
        <v>19</v>
      </c>
      <c r="P933" t="s">
        <v>25</v>
      </c>
      <c r="Q933" s="1" t="s">
        <v>21</v>
      </c>
    </row>
    <row r="934" spans="1:17" x14ac:dyDescent="0.35">
      <c r="A934" t="s">
        <v>1871</v>
      </c>
      <c r="B934" t="s">
        <v>1872</v>
      </c>
      <c r="C934" t="s">
        <v>62</v>
      </c>
      <c r="D934" t="s">
        <v>50</v>
      </c>
      <c r="E934" t="s">
        <v>16</v>
      </c>
      <c r="F934" t="s">
        <v>17</v>
      </c>
      <c r="G934" t="s">
        <v>24</v>
      </c>
      <c r="H934">
        <v>50</v>
      </c>
      <c r="I934" t="str">
        <f>IF(TBL[[#This Row],[Age]]&gt;=60, "Old", IF(TBL[[#This Row],[Age]]&gt;=30, "Adult", "Young"))</f>
        <v>Adult</v>
      </c>
      <c r="J934" s="1">
        <v>36653</v>
      </c>
      <c r="K934">
        <f t="shared" si="14"/>
        <v>2000</v>
      </c>
      <c r="L934">
        <f>MONTH(TBL[[#This Row],[Hire Date]])</f>
        <v>5</v>
      </c>
      <c r="M934" s="7">
        <v>106428</v>
      </c>
      <c r="N934" s="8">
        <v>7.0000000000000007E-2</v>
      </c>
      <c r="O934" t="s">
        <v>19</v>
      </c>
      <c r="P934" t="s">
        <v>20</v>
      </c>
      <c r="Q934" s="1" t="s">
        <v>21</v>
      </c>
    </row>
    <row r="935" spans="1:17" x14ac:dyDescent="0.35">
      <c r="A935" t="s">
        <v>1873</v>
      </c>
      <c r="B935" t="s">
        <v>1874</v>
      </c>
      <c r="C935" t="s">
        <v>14</v>
      </c>
      <c r="D935" t="s">
        <v>15</v>
      </c>
      <c r="E935" t="s">
        <v>32</v>
      </c>
      <c r="F935" t="s">
        <v>28</v>
      </c>
      <c r="G935" t="s">
        <v>18</v>
      </c>
      <c r="H935">
        <v>36</v>
      </c>
      <c r="I935" t="str">
        <f>IF(TBL[[#This Row],[Age]]&gt;=60, "Old", IF(TBL[[#This Row],[Age]]&gt;=30, "Adult", "Young"))</f>
        <v>Adult</v>
      </c>
      <c r="J935" s="1">
        <v>39830</v>
      </c>
      <c r="K935">
        <f t="shared" si="14"/>
        <v>2009</v>
      </c>
      <c r="L935">
        <f>MONTH(TBL[[#This Row],[Hire Date]])</f>
        <v>1</v>
      </c>
      <c r="M935" s="7">
        <v>238236</v>
      </c>
      <c r="N935" s="8">
        <v>0.31</v>
      </c>
      <c r="O935" t="s">
        <v>19</v>
      </c>
      <c r="P935" t="s">
        <v>63</v>
      </c>
      <c r="Q935" s="1" t="s">
        <v>21</v>
      </c>
    </row>
    <row r="936" spans="1:17" x14ac:dyDescent="0.35">
      <c r="A936" t="s">
        <v>1875</v>
      </c>
      <c r="B936" t="s">
        <v>1876</v>
      </c>
      <c r="C936" t="s">
        <v>40</v>
      </c>
      <c r="D936" t="s">
        <v>15</v>
      </c>
      <c r="E936" t="s">
        <v>32</v>
      </c>
      <c r="F936" t="s">
        <v>17</v>
      </c>
      <c r="G936" t="s">
        <v>18</v>
      </c>
      <c r="H936">
        <v>64</v>
      </c>
      <c r="I936" t="str">
        <f>IF(TBL[[#This Row],[Age]]&gt;=60, "Old", IF(TBL[[#This Row],[Age]]&gt;=30, "Adult", "Young"))</f>
        <v>Old</v>
      </c>
      <c r="J936" s="1">
        <v>41264</v>
      </c>
      <c r="K936">
        <f t="shared" si="14"/>
        <v>2012</v>
      </c>
      <c r="L936">
        <f>MONTH(TBL[[#This Row],[Hire Date]])</f>
        <v>12</v>
      </c>
      <c r="M936" s="7">
        <v>153253</v>
      </c>
      <c r="N936" s="8">
        <v>0.24</v>
      </c>
      <c r="O936" t="s">
        <v>19</v>
      </c>
      <c r="P936" t="s">
        <v>25</v>
      </c>
      <c r="Q936" s="1" t="s">
        <v>21</v>
      </c>
    </row>
    <row r="937" spans="1:17" x14ac:dyDescent="0.35">
      <c r="A937" t="s">
        <v>1877</v>
      </c>
      <c r="B937" t="s">
        <v>1878</v>
      </c>
      <c r="C937" t="s">
        <v>62</v>
      </c>
      <c r="D937" t="s">
        <v>65</v>
      </c>
      <c r="E937" t="s">
        <v>36</v>
      </c>
      <c r="F937" t="s">
        <v>17</v>
      </c>
      <c r="G937" t="s">
        <v>18</v>
      </c>
      <c r="H937">
        <v>34</v>
      </c>
      <c r="I937" t="str">
        <f>IF(TBL[[#This Row],[Age]]&gt;=60, "Old", IF(TBL[[#This Row],[Age]]&gt;=30, "Adult", "Young"))</f>
        <v>Adult</v>
      </c>
      <c r="J937" s="1">
        <v>41915</v>
      </c>
      <c r="K937">
        <f t="shared" si="14"/>
        <v>2014</v>
      </c>
      <c r="L937">
        <f>MONTH(TBL[[#This Row],[Hire Date]])</f>
        <v>10</v>
      </c>
      <c r="M937" s="7">
        <v>103707</v>
      </c>
      <c r="N937" s="8">
        <v>0.09</v>
      </c>
      <c r="O937" t="s">
        <v>19</v>
      </c>
      <c r="P937" t="s">
        <v>29</v>
      </c>
      <c r="Q937" s="1" t="s">
        <v>21</v>
      </c>
    </row>
    <row r="938" spans="1:17" x14ac:dyDescent="0.35">
      <c r="A938" t="s">
        <v>1879</v>
      </c>
      <c r="B938" t="s">
        <v>1880</v>
      </c>
      <c r="C938" t="s">
        <v>14</v>
      </c>
      <c r="D938" t="s">
        <v>65</v>
      </c>
      <c r="E938" t="s">
        <v>44</v>
      </c>
      <c r="F938" t="s">
        <v>17</v>
      </c>
      <c r="G938" t="s">
        <v>18</v>
      </c>
      <c r="H938">
        <v>41</v>
      </c>
      <c r="I938" t="str">
        <f>IF(TBL[[#This Row],[Age]]&gt;=60, "Old", IF(TBL[[#This Row],[Age]]&gt;=30, "Adult", "Young"))</f>
        <v>Adult</v>
      </c>
      <c r="J938" s="1">
        <v>41130</v>
      </c>
      <c r="K938">
        <f t="shared" si="14"/>
        <v>2012</v>
      </c>
      <c r="L938">
        <f>MONTH(TBL[[#This Row],[Hire Date]])</f>
        <v>8</v>
      </c>
      <c r="M938" s="7">
        <v>245360</v>
      </c>
      <c r="N938" s="8">
        <v>0.37</v>
      </c>
      <c r="O938" t="s">
        <v>19</v>
      </c>
      <c r="P938" t="s">
        <v>25</v>
      </c>
      <c r="Q938" s="1" t="s">
        <v>21</v>
      </c>
    </row>
    <row r="939" spans="1:17" x14ac:dyDescent="0.35">
      <c r="A939" t="s">
        <v>1881</v>
      </c>
      <c r="B939" t="s">
        <v>1882</v>
      </c>
      <c r="C939" t="s">
        <v>86</v>
      </c>
      <c r="D939" t="s">
        <v>31</v>
      </c>
      <c r="E939" t="s">
        <v>44</v>
      </c>
      <c r="F939" t="s">
        <v>28</v>
      </c>
      <c r="G939" t="s">
        <v>24</v>
      </c>
      <c r="H939">
        <v>25</v>
      </c>
      <c r="I939" t="str">
        <f>IF(TBL[[#This Row],[Age]]&gt;=60, "Old", IF(TBL[[#This Row],[Age]]&gt;=30, "Adult", "Young"))</f>
        <v>Young</v>
      </c>
      <c r="J939" s="1">
        <v>44385</v>
      </c>
      <c r="K939">
        <f t="shared" si="14"/>
        <v>2021</v>
      </c>
      <c r="L939">
        <f>MONTH(TBL[[#This Row],[Hire Date]])</f>
        <v>7</v>
      </c>
      <c r="M939" s="7">
        <v>67275</v>
      </c>
      <c r="N939" s="8">
        <v>0</v>
      </c>
      <c r="O939" t="s">
        <v>19</v>
      </c>
      <c r="P939" t="s">
        <v>29</v>
      </c>
      <c r="Q939" s="1" t="s">
        <v>21</v>
      </c>
    </row>
    <row r="940" spans="1:17" x14ac:dyDescent="0.35">
      <c r="A940" t="s">
        <v>1883</v>
      </c>
      <c r="B940" t="s">
        <v>1884</v>
      </c>
      <c r="C940" t="s">
        <v>62</v>
      </c>
      <c r="D940" t="s">
        <v>27</v>
      </c>
      <c r="E940" t="s">
        <v>36</v>
      </c>
      <c r="F940" t="s">
        <v>28</v>
      </c>
      <c r="G940" t="s">
        <v>24</v>
      </c>
      <c r="H940">
        <v>45</v>
      </c>
      <c r="I940" t="str">
        <f>IF(TBL[[#This Row],[Age]]&gt;=60, "Old", IF(TBL[[#This Row],[Age]]&gt;=30, "Adult", "Young"))</f>
        <v>Adult</v>
      </c>
      <c r="J940" s="1">
        <v>42026</v>
      </c>
      <c r="K940">
        <f t="shared" si="14"/>
        <v>2015</v>
      </c>
      <c r="L940">
        <f>MONTH(TBL[[#This Row],[Hire Date]])</f>
        <v>1</v>
      </c>
      <c r="M940" s="7">
        <v>101288</v>
      </c>
      <c r="N940" s="8">
        <v>0.1</v>
      </c>
      <c r="O940" t="s">
        <v>19</v>
      </c>
      <c r="P940" t="s">
        <v>39</v>
      </c>
      <c r="Q940" s="1" t="s">
        <v>21</v>
      </c>
    </row>
    <row r="941" spans="1:17" x14ac:dyDescent="0.35">
      <c r="A941" t="s">
        <v>560</v>
      </c>
      <c r="B941" t="s">
        <v>1885</v>
      </c>
      <c r="C941" t="s">
        <v>40</v>
      </c>
      <c r="D941" t="s">
        <v>23</v>
      </c>
      <c r="E941" t="s">
        <v>44</v>
      </c>
      <c r="F941" t="s">
        <v>17</v>
      </c>
      <c r="G941" t="s">
        <v>51</v>
      </c>
      <c r="H941">
        <v>52</v>
      </c>
      <c r="I941" t="str">
        <f>IF(TBL[[#This Row],[Age]]&gt;=60, "Old", IF(TBL[[#This Row],[Age]]&gt;=30, "Adult", "Young"))</f>
        <v>Adult</v>
      </c>
      <c r="J941" s="1">
        <v>34209</v>
      </c>
      <c r="K941">
        <f t="shared" si="14"/>
        <v>1993</v>
      </c>
      <c r="L941">
        <f>MONTH(TBL[[#This Row],[Hire Date]])</f>
        <v>8</v>
      </c>
      <c r="M941" s="7">
        <v>177443</v>
      </c>
      <c r="N941" s="8">
        <v>0.25</v>
      </c>
      <c r="O941" t="s">
        <v>52</v>
      </c>
      <c r="P941" t="s">
        <v>53</v>
      </c>
      <c r="Q941" s="1" t="s">
        <v>21</v>
      </c>
    </row>
    <row r="942" spans="1:17" x14ac:dyDescent="0.35">
      <c r="A942" t="s">
        <v>1886</v>
      </c>
      <c r="B942" t="s">
        <v>1887</v>
      </c>
      <c r="C942" t="s">
        <v>38</v>
      </c>
      <c r="D942" t="s">
        <v>27</v>
      </c>
      <c r="E942" t="s">
        <v>36</v>
      </c>
      <c r="F942" t="s">
        <v>17</v>
      </c>
      <c r="G942" t="s">
        <v>47</v>
      </c>
      <c r="H942">
        <v>37</v>
      </c>
      <c r="I942" t="str">
        <f>IF(TBL[[#This Row],[Age]]&gt;=60, "Old", IF(TBL[[#This Row],[Age]]&gt;=30, "Adult", "Young"))</f>
        <v>Adult</v>
      </c>
      <c r="J942" s="1">
        <v>42487</v>
      </c>
      <c r="K942">
        <f t="shared" si="14"/>
        <v>2016</v>
      </c>
      <c r="L942">
        <f>MONTH(TBL[[#This Row],[Hire Date]])</f>
        <v>4</v>
      </c>
      <c r="M942" s="7">
        <v>91400</v>
      </c>
      <c r="N942" s="8">
        <v>0</v>
      </c>
      <c r="O942" t="s">
        <v>19</v>
      </c>
      <c r="P942" t="s">
        <v>20</v>
      </c>
      <c r="Q942" s="1" t="s">
        <v>21</v>
      </c>
    </row>
    <row r="943" spans="1:17" x14ac:dyDescent="0.35">
      <c r="A943" t="s">
        <v>1888</v>
      </c>
      <c r="B943" t="s">
        <v>1889</v>
      </c>
      <c r="C943" t="s">
        <v>14</v>
      </c>
      <c r="D943" t="s">
        <v>23</v>
      </c>
      <c r="E943" t="s">
        <v>32</v>
      </c>
      <c r="F943" t="s">
        <v>28</v>
      </c>
      <c r="G943" t="s">
        <v>51</v>
      </c>
      <c r="H943">
        <v>44</v>
      </c>
      <c r="I943" t="str">
        <f>IF(TBL[[#This Row],[Age]]&gt;=60, "Old", IF(TBL[[#This Row],[Age]]&gt;=30, "Adult", "Young"))</f>
        <v>Adult</v>
      </c>
      <c r="J943" s="1">
        <v>39335</v>
      </c>
      <c r="K943">
        <f t="shared" si="14"/>
        <v>2007</v>
      </c>
      <c r="L943">
        <f>MONTH(TBL[[#This Row],[Hire Date]])</f>
        <v>9</v>
      </c>
      <c r="M943" s="7">
        <v>181247</v>
      </c>
      <c r="N943" s="8">
        <v>0.33</v>
      </c>
      <c r="O943" t="s">
        <v>52</v>
      </c>
      <c r="P943" t="s">
        <v>53</v>
      </c>
      <c r="Q943" s="1" t="s">
        <v>21</v>
      </c>
    </row>
    <row r="944" spans="1:17" x14ac:dyDescent="0.35">
      <c r="A944" t="s">
        <v>1890</v>
      </c>
      <c r="B944" t="s">
        <v>1891</v>
      </c>
      <c r="C944" t="s">
        <v>61</v>
      </c>
      <c r="D944" t="s">
        <v>23</v>
      </c>
      <c r="E944" t="s">
        <v>16</v>
      </c>
      <c r="F944" t="s">
        <v>28</v>
      </c>
      <c r="G944" t="s">
        <v>47</v>
      </c>
      <c r="H944">
        <v>42</v>
      </c>
      <c r="I944" t="str">
        <f>IF(TBL[[#This Row],[Age]]&gt;=60, "Old", IF(TBL[[#This Row],[Age]]&gt;=30, "Adult", "Young"))</f>
        <v>Adult</v>
      </c>
      <c r="J944" s="1">
        <v>37914</v>
      </c>
      <c r="K944">
        <f t="shared" si="14"/>
        <v>2003</v>
      </c>
      <c r="L944">
        <f>MONTH(TBL[[#This Row],[Hire Date]])</f>
        <v>10</v>
      </c>
      <c r="M944" s="7">
        <v>135558</v>
      </c>
      <c r="N944" s="8">
        <v>0.14000000000000001</v>
      </c>
      <c r="O944" t="s">
        <v>19</v>
      </c>
      <c r="P944" t="s">
        <v>39</v>
      </c>
      <c r="Q944" s="1" t="s">
        <v>21</v>
      </c>
    </row>
    <row r="945" spans="1:17" x14ac:dyDescent="0.35">
      <c r="A945" t="s">
        <v>1892</v>
      </c>
      <c r="B945" t="s">
        <v>1443</v>
      </c>
      <c r="C945" t="s">
        <v>68</v>
      </c>
      <c r="D945" t="s">
        <v>65</v>
      </c>
      <c r="E945" t="s">
        <v>44</v>
      </c>
      <c r="F945" t="s">
        <v>28</v>
      </c>
      <c r="G945" t="s">
        <v>18</v>
      </c>
      <c r="H945">
        <v>49</v>
      </c>
      <c r="I945" t="str">
        <f>IF(TBL[[#This Row],[Age]]&gt;=60, "Old", IF(TBL[[#This Row],[Age]]&gt;=30, "Adult", "Young"))</f>
        <v>Adult</v>
      </c>
      <c r="J945" s="1">
        <v>40894</v>
      </c>
      <c r="K945">
        <f t="shared" si="14"/>
        <v>2011</v>
      </c>
      <c r="L945">
        <f>MONTH(TBL[[#This Row],[Hire Date]])</f>
        <v>12</v>
      </c>
      <c r="M945" s="7">
        <v>56878</v>
      </c>
      <c r="N945" s="8">
        <v>0</v>
      </c>
      <c r="O945" t="s">
        <v>19</v>
      </c>
      <c r="P945" t="s">
        <v>63</v>
      </c>
      <c r="Q945" s="1" t="s">
        <v>21</v>
      </c>
    </row>
    <row r="946" spans="1:17" x14ac:dyDescent="0.35">
      <c r="A946" t="s">
        <v>213</v>
      </c>
      <c r="B946" t="s">
        <v>1893</v>
      </c>
      <c r="C946" t="s">
        <v>91</v>
      </c>
      <c r="D946" t="s">
        <v>27</v>
      </c>
      <c r="E946" t="s">
        <v>44</v>
      </c>
      <c r="F946" t="s">
        <v>28</v>
      </c>
      <c r="G946" t="s">
        <v>24</v>
      </c>
      <c r="H946">
        <v>34</v>
      </c>
      <c r="I946" t="str">
        <f>IF(TBL[[#This Row],[Age]]&gt;=60, "Old", IF(TBL[[#This Row],[Age]]&gt;=30, "Adult", "Young"))</f>
        <v>Adult</v>
      </c>
      <c r="J946" s="1">
        <v>43728</v>
      </c>
      <c r="K946">
        <f t="shared" si="14"/>
        <v>2019</v>
      </c>
      <c r="L946">
        <f>MONTH(TBL[[#This Row],[Hire Date]])</f>
        <v>9</v>
      </c>
      <c r="M946" s="7">
        <v>94735</v>
      </c>
      <c r="N946" s="8">
        <v>0</v>
      </c>
      <c r="O946" t="s">
        <v>33</v>
      </c>
      <c r="P946" t="s">
        <v>60</v>
      </c>
      <c r="Q946" s="1" t="s">
        <v>21</v>
      </c>
    </row>
    <row r="947" spans="1:17" x14ac:dyDescent="0.35">
      <c r="A947" t="s">
        <v>1894</v>
      </c>
      <c r="B947" t="s">
        <v>1895</v>
      </c>
      <c r="C947" t="s">
        <v>64</v>
      </c>
      <c r="D947" t="s">
        <v>50</v>
      </c>
      <c r="E947" t="s">
        <v>36</v>
      </c>
      <c r="F947" t="s">
        <v>28</v>
      </c>
      <c r="G947" t="s">
        <v>51</v>
      </c>
      <c r="H947">
        <v>39</v>
      </c>
      <c r="I947" t="str">
        <f>IF(TBL[[#This Row],[Age]]&gt;=60, "Old", IF(TBL[[#This Row],[Age]]&gt;=30, "Adult", "Young"))</f>
        <v>Adult</v>
      </c>
      <c r="J947" s="1">
        <v>39229</v>
      </c>
      <c r="K947">
        <f t="shared" si="14"/>
        <v>2007</v>
      </c>
      <c r="L947">
        <f>MONTH(TBL[[#This Row],[Hire Date]])</f>
        <v>5</v>
      </c>
      <c r="M947" s="7">
        <v>51234</v>
      </c>
      <c r="N947" s="8">
        <v>0</v>
      </c>
      <c r="O947" t="s">
        <v>19</v>
      </c>
      <c r="P947" t="s">
        <v>63</v>
      </c>
      <c r="Q947" s="1" t="s">
        <v>21</v>
      </c>
    </row>
    <row r="948" spans="1:17" x14ac:dyDescent="0.35">
      <c r="A948" t="s">
        <v>1448</v>
      </c>
      <c r="B948" t="s">
        <v>1896</v>
      </c>
      <c r="C948" t="s">
        <v>14</v>
      </c>
      <c r="D948" t="s">
        <v>23</v>
      </c>
      <c r="E948" t="s">
        <v>44</v>
      </c>
      <c r="F948" t="s">
        <v>28</v>
      </c>
      <c r="G948" t="s">
        <v>24</v>
      </c>
      <c r="H948">
        <v>31</v>
      </c>
      <c r="I948" t="str">
        <f>IF(TBL[[#This Row],[Age]]&gt;=60, "Old", IF(TBL[[#This Row],[Age]]&gt;=30, "Adult", "Young"))</f>
        <v>Adult</v>
      </c>
      <c r="J948" s="1">
        <v>42018</v>
      </c>
      <c r="K948">
        <f t="shared" si="14"/>
        <v>2015</v>
      </c>
      <c r="L948">
        <f>MONTH(TBL[[#This Row],[Hire Date]])</f>
        <v>1</v>
      </c>
      <c r="M948" s="7">
        <v>230025</v>
      </c>
      <c r="N948" s="8">
        <v>0.34</v>
      </c>
      <c r="O948" t="s">
        <v>19</v>
      </c>
      <c r="P948" t="s">
        <v>39</v>
      </c>
      <c r="Q948" s="1" t="s">
        <v>21</v>
      </c>
    </row>
    <row r="949" spans="1:17" x14ac:dyDescent="0.35">
      <c r="A949" t="s">
        <v>407</v>
      </c>
      <c r="B949" t="s">
        <v>1897</v>
      </c>
      <c r="C949" t="s">
        <v>61</v>
      </c>
      <c r="D949" t="s">
        <v>23</v>
      </c>
      <c r="E949" t="s">
        <v>44</v>
      </c>
      <c r="F949" t="s">
        <v>17</v>
      </c>
      <c r="G949" t="s">
        <v>24</v>
      </c>
      <c r="H949">
        <v>36</v>
      </c>
      <c r="I949" t="str">
        <f>IF(TBL[[#This Row],[Age]]&gt;=60, "Old", IF(TBL[[#This Row],[Age]]&gt;=30, "Adult", "Young"))</f>
        <v>Adult</v>
      </c>
      <c r="J949" s="1">
        <v>40248</v>
      </c>
      <c r="K949">
        <f t="shared" si="14"/>
        <v>2010</v>
      </c>
      <c r="L949">
        <f>MONTH(TBL[[#This Row],[Hire Date]])</f>
        <v>3</v>
      </c>
      <c r="M949" s="7">
        <v>134006</v>
      </c>
      <c r="N949" s="8">
        <v>0.13</v>
      </c>
      <c r="O949" t="s">
        <v>33</v>
      </c>
      <c r="P949" t="s">
        <v>60</v>
      </c>
      <c r="Q949" s="1" t="s">
        <v>21</v>
      </c>
    </row>
    <row r="950" spans="1:17" x14ac:dyDescent="0.35">
      <c r="A950" t="s">
        <v>325</v>
      </c>
      <c r="B950" t="s">
        <v>1898</v>
      </c>
      <c r="C950" t="s">
        <v>62</v>
      </c>
      <c r="D950" t="s">
        <v>15</v>
      </c>
      <c r="E950" t="s">
        <v>32</v>
      </c>
      <c r="F950" t="s">
        <v>17</v>
      </c>
      <c r="G950" t="s">
        <v>24</v>
      </c>
      <c r="H950">
        <v>61</v>
      </c>
      <c r="I950" t="str">
        <f>IF(TBL[[#This Row],[Age]]&gt;=60, "Old", IF(TBL[[#This Row],[Age]]&gt;=30, "Adult", "Young"))</f>
        <v>Old</v>
      </c>
      <c r="J950" s="1">
        <v>40092</v>
      </c>
      <c r="K950">
        <f t="shared" si="14"/>
        <v>2009</v>
      </c>
      <c r="L950">
        <f>MONTH(TBL[[#This Row],[Hire Date]])</f>
        <v>10</v>
      </c>
      <c r="M950" s="7">
        <v>103096</v>
      </c>
      <c r="N950" s="8">
        <v>7.0000000000000007E-2</v>
      </c>
      <c r="O950" t="s">
        <v>33</v>
      </c>
      <c r="P950" t="s">
        <v>60</v>
      </c>
      <c r="Q950" s="1" t="s">
        <v>21</v>
      </c>
    </row>
    <row r="951" spans="1:17" x14ac:dyDescent="0.35">
      <c r="A951" t="s">
        <v>1899</v>
      </c>
      <c r="B951" t="s">
        <v>1900</v>
      </c>
      <c r="C951" t="s">
        <v>68</v>
      </c>
      <c r="D951" t="s">
        <v>65</v>
      </c>
      <c r="E951" t="s">
        <v>36</v>
      </c>
      <c r="F951" t="s">
        <v>28</v>
      </c>
      <c r="G951" t="s">
        <v>24</v>
      </c>
      <c r="H951">
        <v>29</v>
      </c>
      <c r="I951" t="str">
        <f>IF(TBL[[#This Row],[Age]]&gt;=60, "Old", IF(TBL[[#This Row],[Age]]&gt;=30, "Adult", "Young"))</f>
        <v>Young</v>
      </c>
      <c r="J951" s="1">
        <v>42602</v>
      </c>
      <c r="K951">
        <f t="shared" si="14"/>
        <v>2016</v>
      </c>
      <c r="L951">
        <f>MONTH(TBL[[#This Row],[Hire Date]])</f>
        <v>8</v>
      </c>
      <c r="M951" s="7">
        <v>58703</v>
      </c>
      <c r="N951" s="8">
        <v>0</v>
      </c>
      <c r="O951" t="s">
        <v>19</v>
      </c>
      <c r="P951" t="s">
        <v>29</v>
      </c>
      <c r="Q951" s="1" t="s">
        <v>21</v>
      </c>
    </row>
    <row r="952" spans="1:17" x14ac:dyDescent="0.35">
      <c r="A952" t="s">
        <v>1901</v>
      </c>
      <c r="B952" t="s">
        <v>1902</v>
      </c>
      <c r="C952" t="s">
        <v>61</v>
      </c>
      <c r="D952" t="s">
        <v>27</v>
      </c>
      <c r="E952" t="s">
        <v>44</v>
      </c>
      <c r="F952" t="s">
        <v>28</v>
      </c>
      <c r="G952" t="s">
        <v>51</v>
      </c>
      <c r="H952">
        <v>33</v>
      </c>
      <c r="I952" t="str">
        <f>IF(TBL[[#This Row],[Age]]&gt;=60, "Old", IF(TBL[[#This Row],[Age]]&gt;=30, "Adult", "Young"))</f>
        <v>Adult</v>
      </c>
      <c r="J952" s="1">
        <v>41267</v>
      </c>
      <c r="K952">
        <f t="shared" si="14"/>
        <v>2012</v>
      </c>
      <c r="L952">
        <f>MONTH(TBL[[#This Row],[Hire Date]])</f>
        <v>12</v>
      </c>
      <c r="M952" s="7">
        <v>132544</v>
      </c>
      <c r="N952" s="8">
        <v>0.1</v>
      </c>
      <c r="O952" t="s">
        <v>52</v>
      </c>
      <c r="P952" t="s">
        <v>66</v>
      </c>
      <c r="Q952" s="1" t="s">
        <v>21</v>
      </c>
    </row>
    <row r="953" spans="1:17" x14ac:dyDescent="0.35">
      <c r="A953" t="s">
        <v>399</v>
      </c>
      <c r="B953" t="s">
        <v>1903</v>
      </c>
      <c r="C953" t="s">
        <v>62</v>
      </c>
      <c r="D953" t="s">
        <v>15</v>
      </c>
      <c r="E953" t="s">
        <v>36</v>
      </c>
      <c r="F953" t="s">
        <v>28</v>
      </c>
      <c r="G953" t="s">
        <v>18</v>
      </c>
      <c r="H953">
        <v>32</v>
      </c>
      <c r="I953" t="str">
        <f>IF(TBL[[#This Row],[Age]]&gt;=60, "Old", IF(TBL[[#This Row],[Age]]&gt;=30, "Adult", "Young"))</f>
        <v>Adult</v>
      </c>
      <c r="J953" s="1">
        <v>43936</v>
      </c>
      <c r="K953">
        <f t="shared" si="14"/>
        <v>2020</v>
      </c>
      <c r="L953">
        <f>MONTH(TBL[[#This Row],[Hire Date]])</f>
        <v>4</v>
      </c>
      <c r="M953" s="7">
        <v>126671</v>
      </c>
      <c r="N953" s="8">
        <v>0.09</v>
      </c>
      <c r="O953" t="s">
        <v>19</v>
      </c>
      <c r="P953" t="s">
        <v>45</v>
      </c>
      <c r="Q953" s="1" t="s">
        <v>21</v>
      </c>
    </row>
    <row r="954" spans="1:17" x14ac:dyDescent="0.35">
      <c r="A954" t="s">
        <v>282</v>
      </c>
      <c r="B954" t="s">
        <v>1904</v>
      </c>
      <c r="C954" t="s">
        <v>94</v>
      </c>
      <c r="D954" t="s">
        <v>50</v>
      </c>
      <c r="E954" t="s">
        <v>16</v>
      </c>
      <c r="F954" t="s">
        <v>17</v>
      </c>
      <c r="G954" t="s">
        <v>24</v>
      </c>
      <c r="H954">
        <v>33</v>
      </c>
      <c r="I954" t="str">
        <f>IF(TBL[[#This Row],[Age]]&gt;=60, "Old", IF(TBL[[#This Row],[Age]]&gt;=30, "Adult", "Young"))</f>
        <v>Adult</v>
      </c>
      <c r="J954" s="1">
        <v>44218</v>
      </c>
      <c r="K954">
        <f t="shared" si="14"/>
        <v>2021</v>
      </c>
      <c r="L954">
        <f>MONTH(TBL[[#This Row],[Hire Date]])</f>
        <v>1</v>
      </c>
      <c r="M954" s="7">
        <v>56405</v>
      </c>
      <c r="N954" s="8">
        <v>0</v>
      </c>
      <c r="O954" t="s">
        <v>19</v>
      </c>
      <c r="P954" t="s">
        <v>20</v>
      </c>
      <c r="Q954" s="1" t="s">
        <v>21</v>
      </c>
    </row>
    <row r="955" spans="1:17" x14ac:dyDescent="0.35">
      <c r="A955" t="s">
        <v>204</v>
      </c>
      <c r="B955" t="s">
        <v>1905</v>
      </c>
      <c r="C955" t="s">
        <v>56</v>
      </c>
      <c r="D955" t="s">
        <v>27</v>
      </c>
      <c r="E955" t="s">
        <v>44</v>
      </c>
      <c r="F955" t="s">
        <v>17</v>
      </c>
      <c r="G955" t="s">
        <v>24</v>
      </c>
      <c r="H955">
        <v>36</v>
      </c>
      <c r="I955" t="str">
        <f>IF(TBL[[#This Row],[Age]]&gt;=60, "Old", IF(TBL[[#This Row],[Age]]&gt;=30, "Adult", "Young"))</f>
        <v>Adult</v>
      </c>
      <c r="J955" s="1">
        <v>41972</v>
      </c>
      <c r="K955">
        <f t="shared" si="14"/>
        <v>2014</v>
      </c>
      <c r="L955">
        <f>MONTH(TBL[[#This Row],[Hire Date]])</f>
        <v>11</v>
      </c>
      <c r="M955" s="7">
        <v>88730</v>
      </c>
      <c r="N955" s="8">
        <v>0.08</v>
      </c>
      <c r="O955" t="s">
        <v>33</v>
      </c>
      <c r="P955" t="s">
        <v>80</v>
      </c>
      <c r="Q955" s="1" t="s">
        <v>21</v>
      </c>
    </row>
    <row r="956" spans="1:17" x14ac:dyDescent="0.35">
      <c r="A956" t="s">
        <v>1906</v>
      </c>
      <c r="B956" t="s">
        <v>1907</v>
      </c>
      <c r="C956" t="s">
        <v>64</v>
      </c>
      <c r="D956" t="s">
        <v>15</v>
      </c>
      <c r="E956" t="s">
        <v>36</v>
      </c>
      <c r="F956" t="s">
        <v>28</v>
      </c>
      <c r="G956" t="s">
        <v>51</v>
      </c>
      <c r="H956">
        <v>39</v>
      </c>
      <c r="I956" t="str">
        <f>IF(TBL[[#This Row],[Age]]&gt;=60, "Old", IF(TBL[[#This Row],[Age]]&gt;=30, "Adult", "Young"))</f>
        <v>Adult</v>
      </c>
      <c r="J956" s="1">
        <v>39708</v>
      </c>
      <c r="K956">
        <f t="shared" si="14"/>
        <v>2008</v>
      </c>
      <c r="L956">
        <f>MONTH(TBL[[#This Row],[Hire Date]])</f>
        <v>9</v>
      </c>
      <c r="M956" s="7">
        <v>62861</v>
      </c>
      <c r="N956" s="8">
        <v>0</v>
      </c>
      <c r="O956" t="s">
        <v>19</v>
      </c>
      <c r="P956" t="s">
        <v>63</v>
      </c>
      <c r="Q956" s="1" t="s">
        <v>21</v>
      </c>
    </row>
    <row r="957" spans="1:17" x14ac:dyDescent="0.35">
      <c r="A957" t="s">
        <v>1908</v>
      </c>
      <c r="B957" t="s">
        <v>1909</v>
      </c>
      <c r="C957" t="s">
        <v>40</v>
      </c>
      <c r="D957" t="s">
        <v>23</v>
      </c>
      <c r="E957" t="s">
        <v>32</v>
      </c>
      <c r="F957" t="s">
        <v>17</v>
      </c>
      <c r="G957" t="s">
        <v>51</v>
      </c>
      <c r="H957">
        <v>53</v>
      </c>
      <c r="I957" t="str">
        <f>IF(TBL[[#This Row],[Age]]&gt;=60, "Old", IF(TBL[[#This Row],[Age]]&gt;=30, "Adult", "Young"))</f>
        <v>Adult</v>
      </c>
      <c r="J957" s="1">
        <v>38919</v>
      </c>
      <c r="K957">
        <f t="shared" si="14"/>
        <v>2006</v>
      </c>
      <c r="L957">
        <f>MONTH(TBL[[#This Row],[Hire Date]])</f>
        <v>7</v>
      </c>
      <c r="M957" s="7">
        <v>151246</v>
      </c>
      <c r="N957" s="8">
        <v>0.21</v>
      </c>
      <c r="O957" t="s">
        <v>52</v>
      </c>
      <c r="P957" t="s">
        <v>53</v>
      </c>
      <c r="Q957" s="1" t="s">
        <v>21</v>
      </c>
    </row>
    <row r="958" spans="1:17" x14ac:dyDescent="0.35">
      <c r="A958" t="s">
        <v>1910</v>
      </c>
      <c r="B958" t="s">
        <v>1911</v>
      </c>
      <c r="C958" t="s">
        <v>61</v>
      </c>
      <c r="D958" t="s">
        <v>27</v>
      </c>
      <c r="E958" t="s">
        <v>36</v>
      </c>
      <c r="F958" t="s">
        <v>17</v>
      </c>
      <c r="G958" t="s">
        <v>24</v>
      </c>
      <c r="H958">
        <v>53</v>
      </c>
      <c r="I958" t="str">
        <f>IF(TBL[[#This Row],[Age]]&gt;=60, "Old", IF(TBL[[#This Row],[Age]]&gt;=30, "Adult", "Young"))</f>
        <v>Adult</v>
      </c>
      <c r="J958" s="1">
        <v>35532</v>
      </c>
      <c r="K958">
        <f t="shared" si="14"/>
        <v>1997</v>
      </c>
      <c r="L958">
        <f>MONTH(TBL[[#This Row],[Hire Date]])</f>
        <v>4</v>
      </c>
      <c r="M958" s="7">
        <v>154388</v>
      </c>
      <c r="N958" s="8">
        <v>0.1</v>
      </c>
      <c r="O958" t="s">
        <v>19</v>
      </c>
      <c r="P958" t="s">
        <v>63</v>
      </c>
      <c r="Q958" s="1" t="s">
        <v>21</v>
      </c>
    </row>
    <row r="959" spans="1:17" x14ac:dyDescent="0.35">
      <c r="A959" t="s">
        <v>1134</v>
      </c>
      <c r="B959" t="s">
        <v>1912</v>
      </c>
      <c r="C959" t="s">
        <v>40</v>
      </c>
      <c r="D959" t="s">
        <v>23</v>
      </c>
      <c r="E959" t="s">
        <v>36</v>
      </c>
      <c r="F959" t="s">
        <v>17</v>
      </c>
      <c r="G959" t="s">
        <v>18</v>
      </c>
      <c r="H959">
        <v>54</v>
      </c>
      <c r="I959" t="str">
        <f>IF(TBL[[#This Row],[Age]]&gt;=60, "Old", IF(TBL[[#This Row],[Age]]&gt;=30, "Adult", "Young"))</f>
        <v>Adult</v>
      </c>
      <c r="J959" s="1">
        <v>34603</v>
      </c>
      <c r="K959">
        <f t="shared" si="14"/>
        <v>1994</v>
      </c>
      <c r="L959">
        <f>MONTH(TBL[[#This Row],[Hire Date]])</f>
        <v>9</v>
      </c>
      <c r="M959" s="7">
        <v>162978</v>
      </c>
      <c r="N959" s="8">
        <v>0.17</v>
      </c>
      <c r="O959" t="s">
        <v>19</v>
      </c>
      <c r="P959" t="s">
        <v>45</v>
      </c>
      <c r="Q959" s="1">
        <v>38131</v>
      </c>
    </row>
    <row r="960" spans="1:17" x14ac:dyDescent="0.35">
      <c r="A960" t="s">
        <v>1913</v>
      </c>
      <c r="B960" t="s">
        <v>1914</v>
      </c>
      <c r="C960" t="s">
        <v>88</v>
      </c>
      <c r="D960" t="s">
        <v>27</v>
      </c>
      <c r="E960" t="s">
        <v>44</v>
      </c>
      <c r="F960" t="s">
        <v>28</v>
      </c>
      <c r="G960" t="s">
        <v>51</v>
      </c>
      <c r="H960">
        <v>55</v>
      </c>
      <c r="I960" t="str">
        <f>IF(TBL[[#This Row],[Age]]&gt;=60, "Old", IF(TBL[[#This Row],[Age]]&gt;=30, "Adult", "Young"))</f>
        <v>Adult</v>
      </c>
      <c r="J960" s="1">
        <v>34290</v>
      </c>
      <c r="K960">
        <f t="shared" si="14"/>
        <v>1993</v>
      </c>
      <c r="L960">
        <f>MONTH(TBL[[#This Row],[Hire Date]])</f>
        <v>11</v>
      </c>
      <c r="M960" s="7">
        <v>80170</v>
      </c>
      <c r="N960" s="8">
        <v>0</v>
      </c>
      <c r="O960" t="s">
        <v>19</v>
      </c>
      <c r="P960" t="s">
        <v>45</v>
      </c>
      <c r="Q960" s="1" t="s">
        <v>21</v>
      </c>
    </row>
    <row r="961" spans="1:17" x14ac:dyDescent="0.35">
      <c r="A961" t="s">
        <v>1297</v>
      </c>
      <c r="B961" t="s">
        <v>1915</v>
      </c>
      <c r="C961" t="s">
        <v>42</v>
      </c>
      <c r="D961" t="s">
        <v>65</v>
      </c>
      <c r="E961" t="s">
        <v>36</v>
      </c>
      <c r="F961" t="s">
        <v>17</v>
      </c>
      <c r="G961" t="s">
        <v>24</v>
      </c>
      <c r="H961">
        <v>44</v>
      </c>
      <c r="I961" t="str">
        <f>IF(TBL[[#This Row],[Age]]&gt;=60, "Old", IF(TBL[[#This Row],[Age]]&gt;=30, "Adult", "Young"))</f>
        <v>Adult</v>
      </c>
      <c r="J961" s="1">
        <v>44314</v>
      </c>
      <c r="K961">
        <f t="shared" si="14"/>
        <v>2021</v>
      </c>
      <c r="L961">
        <f>MONTH(TBL[[#This Row],[Hire Date]])</f>
        <v>4</v>
      </c>
      <c r="M961" s="7">
        <v>98520</v>
      </c>
      <c r="N961" s="8">
        <v>0</v>
      </c>
      <c r="O961" t="s">
        <v>19</v>
      </c>
      <c r="P961" t="s">
        <v>45</v>
      </c>
      <c r="Q961" s="1" t="s">
        <v>21</v>
      </c>
    </row>
    <row r="962" spans="1:17" x14ac:dyDescent="0.35">
      <c r="A962" t="s">
        <v>1600</v>
      </c>
      <c r="B962" t="s">
        <v>1916</v>
      </c>
      <c r="C962" t="s">
        <v>62</v>
      </c>
      <c r="D962" t="s">
        <v>15</v>
      </c>
      <c r="E962" t="s">
        <v>36</v>
      </c>
      <c r="F962" t="s">
        <v>28</v>
      </c>
      <c r="G962" t="s">
        <v>24</v>
      </c>
      <c r="H962">
        <v>52</v>
      </c>
      <c r="I962" t="str">
        <f>IF(TBL[[#This Row],[Age]]&gt;=60, "Old", IF(TBL[[#This Row],[Age]]&gt;=30, "Adult", "Young"))</f>
        <v>Adult</v>
      </c>
      <c r="J962" s="1">
        <v>36523</v>
      </c>
      <c r="K962">
        <f t="shared" ref="K962:K1001" si="15">YEAR(--J962)</f>
        <v>1999</v>
      </c>
      <c r="L962">
        <f>MONTH(TBL[[#This Row],[Hire Date]])</f>
        <v>12</v>
      </c>
      <c r="M962" s="7">
        <v>116527</v>
      </c>
      <c r="N962" s="8">
        <v>7.0000000000000007E-2</v>
      </c>
      <c r="O962" t="s">
        <v>19</v>
      </c>
      <c r="P962" t="s">
        <v>39</v>
      </c>
      <c r="Q962" s="1" t="s">
        <v>21</v>
      </c>
    </row>
    <row r="963" spans="1:17" x14ac:dyDescent="0.35">
      <c r="A963" t="s">
        <v>1737</v>
      </c>
      <c r="B963" t="s">
        <v>145</v>
      </c>
      <c r="C963" t="s">
        <v>40</v>
      </c>
      <c r="D963" t="s">
        <v>50</v>
      </c>
      <c r="E963" t="s">
        <v>16</v>
      </c>
      <c r="F963" t="s">
        <v>28</v>
      </c>
      <c r="G963" t="s">
        <v>24</v>
      </c>
      <c r="H963">
        <v>27</v>
      </c>
      <c r="I963" t="str">
        <f>IF(TBL[[#This Row],[Age]]&gt;=60, "Old", IF(TBL[[#This Row],[Age]]&gt;=30, "Adult", "Young"))</f>
        <v>Young</v>
      </c>
      <c r="J963" s="1">
        <v>43776</v>
      </c>
      <c r="K963">
        <f t="shared" si="15"/>
        <v>2019</v>
      </c>
      <c r="L963">
        <f>MONTH(TBL[[#This Row],[Hire Date]])</f>
        <v>11</v>
      </c>
      <c r="M963" s="7">
        <v>174607</v>
      </c>
      <c r="N963" s="8">
        <v>0.28999999999999998</v>
      </c>
      <c r="O963" t="s">
        <v>19</v>
      </c>
      <c r="P963" t="s">
        <v>29</v>
      </c>
      <c r="Q963" s="1" t="s">
        <v>21</v>
      </c>
    </row>
    <row r="964" spans="1:17" x14ac:dyDescent="0.35">
      <c r="A964" t="s">
        <v>1917</v>
      </c>
      <c r="B964" t="s">
        <v>1918</v>
      </c>
      <c r="C964" t="s">
        <v>64</v>
      </c>
      <c r="D964" t="s">
        <v>65</v>
      </c>
      <c r="E964" t="s">
        <v>16</v>
      </c>
      <c r="F964" t="s">
        <v>28</v>
      </c>
      <c r="G964" t="s">
        <v>51</v>
      </c>
      <c r="H964">
        <v>58</v>
      </c>
      <c r="I964" t="str">
        <f>IF(TBL[[#This Row],[Age]]&gt;=60, "Old", IF(TBL[[#This Row],[Age]]&gt;=30, "Adult", "Young"))</f>
        <v>Adult</v>
      </c>
      <c r="J964" s="1">
        <v>38819</v>
      </c>
      <c r="K964">
        <f t="shared" si="15"/>
        <v>2006</v>
      </c>
      <c r="L964">
        <f>MONTH(TBL[[#This Row],[Hire Date]])</f>
        <v>4</v>
      </c>
      <c r="M964" s="7">
        <v>64202</v>
      </c>
      <c r="N964" s="8">
        <v>0</v>
      </c>
      <c r="O964" t="s">
        <v>19</v>
      </c>
      <c r="P964" t="s">
        <v>29</v>
      </c>
      <c r="Q964" s="1" t="s">
        <v>21</v>
      </c>
    </row>
    <row r="965" spans="1:17" x14ac:dyDescent="0.35">
      <c r="A965" t="s">
        <v>371</v>
      </c>
      <c r="B965" t="s">
        <v>1919</v>
      </c>
      <c r="C965" t="s">
        <v>64</v>
      </c>
      <c r="D965" t="s">
        <v>65</v>
      </c>
      <c r="E965" t="s">
        <v>32</v>
      </c>
      <c r="F965" t="s">
        <v>28</v>
      </c>
      <c r="G965" t="s">
        <v>24</v>
      </c>
      <c r="H965">
        <v>49</v>
      </c>
      <c r="I965" t="str">
        <f>IF(TBL[[#This Row],[Age]]&gt;=60, "Old", IF(TBL[[#This Row],[Age]]&gt;=30, "Adult", "Young"))</f>
        <v>Adult</v>
      </c>
      <c r="J965" s="1">
        <v>43671</v>
      </c>
      <c r="K965">
        <f t="shared" si="15"/>
        <v>2019</v>
      </c>
      <c r="L965">
        <f>MONTH(TBL[[#This Row],[Hire Date]])</f>
        <v>7</v>
      </c>
      <c r="M965" s="7">
        <v>50883</v>
      </c>
      <c r="N965" s="8">
        <v>0</v>
      </c>
      <c r="O965" t="s">
        <v>33</v>
      </c>
      <c r="P965" t="s">
        <v>80</v>
      </c>
      <c r="Q965" s="1">
        <v>44257</v>
      </c>
    </row>
    <row r="966" spans="1:17" x14ac:dyDescent="0.35">
      <c r="A966" t="s">
        <v>260</v>
      </c>
      <c r="B966" t="s">
        <v>1920</v>
      </c>
      <c r="C966" t="s">
        <v>71</v>
      </c>
      <c r="D966" t="s">
        <v>27</v>
      </c>
      <c r="E966" t="s">
        <v>44</v>
      </c>
      <c r="F966" t="s">
        <v>17</v>
      </c>
      <c r="G966" t="s">
        <v>51</v>
      </c>
      <c r="H966">
        <v>36</v>
      </c>
      <c r="I966" t="str">
        <f>IF(TBL[[#This Row],[Age]]&gt;=60, "Old", IF(TBL[[#This Row],[Age]]&gt;=30, "Adult", "Young"))</f>
        <v>Adult</v>
      </c>
      <c r="J966" s="1">
        <v>42677</v>
      </c>
      <c r="K966">
        <f t="shared" si="15"/>
        <v>2016</v>
      </c>
      <c r="L966">
        <f>MONTH(TBL[[#This Row],[Hire Date]])</f>
        <v>11</v>
      </c>
      <c r="M966" s="7">
        <v>94618</v>
      </c>
      <c r="N966" s="8">
        <v>0</v>
      </c>
      <c r="O966" t="s">
        <v>19</v>
      </c>
      <c r="P966" t="s">
        <v>29</v>
      </c>
      <c r="Q966" s="1" t="s">
        <v>21</v>
      </c>
    </row>
    <row r="967" spans="1:17" x14ac:dyDescent="0.35">
      <c r="A967" t="s">
        <v>1921</v>
      </c>
      <c r="B967" t="s">
        <v>1922</v>
      </c>
      <c r="C967" t="s">
        <v>40</v>
      </c>
      <c r="D967" t="s">
        <v>43</v>
      </c>
      <c r="E967" t="s">
        <v>16</v>
      </c>
      <c r="F967" t="s">
        <v>28</v>
      </c>
      <c r="G967" t="s">
        <v>18</v>
      </c>
      <c r="H967">
        <v>26</v>
      </c>
      <c r="I967" t="str">
        <f>IF(TBL[[#This Row],[Age]]&gt;=60, "Old", IF(TBL[[#This Row],[Age]]&gt;=30, "Adult", "Young"))</f>
        <v>Young</v>
      </c>
      <c r="J967" s="1">
        <v>43753</v>
      </c>
      <c r="K967">
        <f t="shared" si="15"/>
        <v>2019</v>
      </c>
      <c r="L967">
        <f>MONTH(TBL[[#This Row],[Hire Date]])</f>
        <v>10</v>
      </c>
      <c r="M967" s="7">
        <v>151556</v>
      </c>
      <c r="N967" s="8">
        <v>0.2</v>
      </c>
      <c r="O967" t="s">
        <v>19</v>
      </c>
      <c r="P967" t="s">
        <v>45</v>
      </c>
      <c r="Q967" s="1" t="s">
        <v>21</v>
      </c>
    </row>
    <row r="968" spans="1:17" x14ac:dyDescent="0.35">
      <c r="A968" t="s">
        <v>1923</v>
      </c>
      <c r="B968" t="s">
        <v>1924</v>
      </c>
      <c r="C968" t="s">
        <v>86</v>
      </c>
      <c r="D968" t="s">
        <v>31</v>
      </c>
      <c r="E968" t="s">
        <v>16</v>
      </c>
      <c r="F968" t="s">
        <v>17</v>
      </c>
      <c r="G968" t="s">
        <v>24</v>
      </c>
      <c r="H968">
        <v>37</v>
      </c>
      <c r="I968" t="str">
        <f>IF(TBL[[#This Row],[Age]]&gt;=60, "Old", IF(TBL[[#This Row],[Age]]&gt;=30, "Adult", "Young"))</f>
        <v>Adult</v>
      </c>
      <c r="J968" s="1">
        <v>43898</v>
      </c>
      <c r="K968">
        <f t="shared" si="15"/>
        <v>2020</v>
      </c>
      <c r="L968">
        <f>MONTH(TBL[[#This Row],[Hire Date]])</f>
        <v>3</v>
      </c>
      <c r="M968" s="7">
        <v>80659</v>
      </c>
      <c r="N968" s="8">
        <v>0</v>
      </c>
      <c r="O968" t="s">
        <v>19</v>
      </c>
      <c r="P968" t="s">
        <v>39</v>
      </c>
      <c r="Q968" s="1" t="s">
        <v>21</v>
      </c>
    </row>
    <row r="969" spans="1:17" x14ac:dyDescent="0.35">
      <c r="A969" t="s">
        <v>1925</v>
      </c>
      <c r="B969" t="s">
        <v>1926</v>
      </c>
      <c r="C969" t="s">
        <v>40</v>
      </c>
      <c r="D969" t="s">
        <v>23</v>
      </c>
      <c r="E969" t="s">
        <v>44</v>
      </c>
      <c r="F969" t="s">
        <v>28</v>
      </c>
      <c r="G969" t="s">
        <v>24</v>
      </c>
      <c r="H969">
        <v>47</v>
      </c>
      <c r="I969" t="str">
        <f>IF(TBL[[#This Row],[Age]]&gt;=60, "Old", IF(TBL[[#This Row],[Age]]&gt;=30, "Adult", "Young"))</f>
        <v>Adult</v>
      </c>
      <c r="J969" s="1">
        <v>43772</v>
      </c>
      <c r="K969">
        <f t="shared" si="15"/>
        <v>2019</v>
      </c>
      <c r="L969">
        <f>MONTH(TBL[[#This Row],[Hire Date]])</f>
        <v>11</v>
      </c>
      <c r="M969" s="7">
        <v>195385</v>
      </c>
      <c r="N969" s="8">
        <v>0.21</v>
      </c>
      <c r="O969" t="s">
        <v>33</v>
      </c>
      <c r="P969" t="s">
        <v>34</v>
      </c>
      <c r="Q969" s="1" t="s">
        <v>21</v>
      </c>
    </row>
    <row r="970" spans="1:17" x14ac:dyDescent="0.35">
      <c r="A970" t="s">
        <v>1927</v>
      </c>
      <c r="B970" t="s">
        <v>1928</v>
      </c>
      <c r="C970" t="s">
        <v>76</v>
      </c>
      <c r="D970" t="s">
        <v>27</v>
      </c>
      <c r="E970" t="s">
        <v>44</v>
      </c>
      <c r="F970" t="s">
        <v>28</v>
      </c>
      <c r="G970" t="s">
        <v>51</v>
      </c>
      <c r="H970">
        <v>29</v>
      </c>
      <c r="I970" t="str">
        <f>IF(TBL[[#This Row],[Age]]&gt;=60, "Old", IF(TBL[[#This Row],[Age]]&gt;=30, "Adult", "Young"))</f>
        <v>Young</v>
      </c>
      <c r="J970" s="1">
        <v>42509</v>
      </c>
      <c r="K970">
        <f t="shared" si="15"/>
        <v>2016</v>
      </c>
      <c r="L970">
        <f>MONTH(TBL[[#This Row],[Hire Date]])</f>
        <v>5</v>
      </c>
      <c r="M970" s="7">
        <v>52693</v>
      </c>
      <c r="N970" s="8">
        <v>0</v>
      </c>
      <c r="O970" t="s">
        <v>52</v>
      </c>
      <c r="P970" t="s">
        <v>66</v>
      </c>
      <c r="Q970" s="1" t="s">
        <v>21</v>
      </c>
    </row>
    <row r="971" spans="1:17" x14ac:dyDescent="0.35">
      <c r="A971" t="s">
        <v>1929</v>
      </c>
      <c r="B971" t="s">
        <v>1930</v>
      </c>
      <c r="C971" t="s">
        <v>89</v>
      </c>
      <c r="D971" t="s">
        <v>27</v>
      </c>
      <c r="E971" t="s">
        <v>16</v>
      </c>
      <c r="F971" t="s">
        <v>17</v>
      </c>
      <c r="G971" t="s">
        <v>18</v>
      </c>
      <c r="H971">
        <v>58</v>
      </c>
      <c r="I971" t="str">
        <f>IF(TBL[[#This Row],[Age]]&gt;=60, "Old", IF(TBL[[#This Row],[Age]]&gt;=30, "Adult", "Young"))</f>
        <v>Adult</v>
      </c>
      <c r="J971" s="1">
        <v>42486</v>
      </c>
      <c r="K971">
        <f t="shared" si="15"/>
        <v>2016</v>
      </c>
      <c r="L971">
        <f>MONTH(TBL[[#This Row],[Hire Date]])</f>
        <v>4</v>
      </c>
      <c r="M971" s="7">
        <v>72045</v>
      </c>
      <c r="N971" s="8">
        <v>0</v>
      </c>
      <c r="O971" t="s">
        <v>19</v>
      </c>
      <c r="P971" t="s">
        <v>39</v>
      </c>
      <c r="Q971" s="1" t="s">
        <v>21</v>
      </c>
    </row>
    <row r="972" spans="1:17" x14ac:dyDescent="0.35">
      <c r="A972" t="s">
        <v>1931</v>
      </c>
      <c r="B972" t="s">
        <v>1932</v>
      </c>
      <c r="C972" t="s">
        <v>64</v>
      </c>
      <c r="D972" t="s">
        <v>43</v>
      </c>
      <c r="E972" t="s">
        <v>36</v>
      </c>
      <c r="F972" t="s">
        <v>28</v>
      </c>
      <c r="G972" t="s">
        <v>51</v>
      </c>
      <c r="H972">
        <v>47</v>
      </c>
      <c r="I972" t="str">
        <f>IF(TBL[[#This Row],[Age]]&gt;=60, "Old", IF(TBL[[#This Row],[Age]]&gt;=30, "Adult", "Young"))</f>
        <v>Adult</v>
      </c>
      <c r="J972" s="1">
        <v>38684</v>
      </c>
      <c r="K972">
        <f t="shared" si="15"/>
        <v>2005</v>
      </c>
      <c r="L972">
        <f>MONTH(TBL[[#This Row],[Hire Date]])</f>
        <v>11</v>
      </c>
      <c r="M972" s="7">
        <v>62749</v>
      </c>
      <c r="N972" s="8">
        <v>0</v>
      </c>
      <c r="O972" t="s">
        <v>52</v>
      </c>
      <c r="P972" t="s">
        <v>81</v>
      </c>
      <c r="Q972" s="1" t="s">
        <v>21</v>
      </c>
    </row>
    <row r="973" spans="1:17" x14ac:dyDescent="0.35">
      <c r="A973" t="s">
        <v>1933</v>
      </c>
      <c r="B973" t="s">
        <v>1934</v>
      </c>
      <c r="C973" t="s">
        <v>61</v>
      </c>
      <c r="D973" t="s">
        <v>43</v>
      </c>
      <c r="E973" t="s">
        <v>44</v>
      </c>
      <c r="F973" t="s">
        <v>28</v>
      </c>
      <c r="G973" t="s">
        <v>24</v>
      </c>
      <c r="H973">
        <v>52</v>
      </c>
      <c r="I973" t="str">
        <f>IF(TBL[[#This Row],[Age]]&gt;=60, "Old", IF(TBL[[#This Row],[Age]]&gt;=30, "Adult", "Young"))</f>
        <v>Adult</v>
      </c>
      <c r="J973" s="1">
        <v>43255</v>
      </c>
      <c r="K973">
        <f t="shared" si="15"/>
        <v>2018</v>
      </c>
      <c r="L973">
        <f>MONTH(TBL[[#This Row],[Hire Date]])</f>
        <v>6</v>
      </c>
      <c r="M973" s="7">
        <v>154884</v>
      </c>
      <c r="N973" s="8">
        <v>0.1</v>
      </c>
      <c r="O973" t="s">
        <v>33</v>
      </c>
      <c r="P973" t="s">
        <v>74</v>
      </c>
      <c r="Q973" s="1" t="s">
        <v>21</v>
      </c>
    </row>
    <row r="974" spans="1:17" x14ac:dyDescent="0.35">
      <c r="A974" t="s">
        <v>1935</v>
      </c>
      <c r="B974" t="s">
        <v>1936</v>
      </c>
      <c r="C974" t="s">
        <v>71</v>
      </c>
      <c r="D974" t="s">
        <v>27</v>
      </c>
      <c r="E974" t="s">
        <v>16</v>
      </c>
      <c r="F974" t="s">
        <v>28</v>
      </c>
      <c r="G974" t="s">
        <v>18</v>
      </c>
      <c r="H974">
        <v>61</v>
      </c>
      <c r="I974" t="str">
        <f>IF(TBL[[#This Row],[Age]]&gt;=60, "Old", IF(TBL[[#This Row],[Age]]&gt;=30, "Adult", "Young"))</f>
        <v>Old</v>
      </c>
      <c r="J974" s="1">
        <v>42437</v>
      </c>
      <c r="K974">
        <f t="shared" si="15"/>
        <v>2016</v>
      </c>
      <c r="L974">
        <f>MONTH(TBL[[#This Row],[Hire Date]])</f>
        <v>3</v>
      </c>
      <c r="M974" s="7">
        <v>96566</v>
      </c>
      <c r="N974" s="8">
        <v>0</v>
      </c>
      <c r="O974" t="s">
        <v>19</v>
      </c>
      <c r="P974" t="s">
        <v>29</v>
      </c>
      <c r="Q974" s="1" t="s">
        <v>21</v>
      </c>
    </row>
    <row r="975" spans="1:17" x14ac:dyDescent="0.35">
      <c r="A975" t="s">
        <v>197</v>
      </c>
      <c r="B975" t="s">
        <v>1937</v>
      </c>
      <c r="C975" t="s">
        <v>76</v>
      </c>
      <c r="D975" t="s">
        <v>27</v>
      </c>
      <c r="E975" t="s">
        <v>16</v>
      </c>
      <c r="F975" t="s">
        <v>28</v>
      </c>
      <c r="G975" t="s">
        <v>51</v>
      </c>
      <c r="H975">
        <v>45</v>
      </c>
      <c r="I975" t="str">
        <f>IF(TBL[[#This Row],[Age]]&gt;=60, "Old", IF(TBL[[#This Row],[Age]]&gt;=30, "Adult", "Young"))</f>
        <v>Adult</v>
      </c>
      <c r="J975" s="1">
        <v>37126</v>
      </c>
      <c r="K975">
        <f t="shared" si="15"/>
        <v>2001</v>
      </c>
      <c r="L975">
        <f>MONTH(TBL[[#This Row],[Hire Date]])</f>
        <v>8</v>
      </c>
      <c r="M975" s="7">
        <v>54994</v>
      </c>
      <c r="N975" s="8">
        <v>0</v>
      </c>
      <c r="O975" t="s">
        <v>19</v>
      </c>
      <c r="P975" t="s">
        <v>29</v>
      </c>
      <c r="Q975" s="1" t="s">
        <v>21</v>
      </c>
    </row>
    <row r="976" spans="1:17" x14ac:dyDescent="0.35">
      <c r="A976" t="s">
        <v>1938</v>
      </c>
      <c r="B976" t="s">
        <v>1939</v>
      </c>
      <c r="C976" t="s">
        <v>89</v>
      </c>
      <c r="D976" t="s">
        <v>27</v>
      </c>
      <c r="E976" t="s">
        <v>32</v>
      </c>
      <c r="F976" t="s">
        <v>17</v>
      </c>
      <c r="G976" t="s">
        <v>18</v>
      </c>
      <c r="H976">
        <v>40</v>
      </c>
      <c r="I976" t="str">
        <f>IF(TBL[[#This Row],[Age]]&gt;=60, "Old", IF(TBL[[#This Row],[Age]]&gt;=30, "Adult", "Young"))</f>
        <v>Adult</v>
      </c>
      <c r="J976" s="1">
        <v>40944</v>
      </c>
      <c r="K976">
        <f t="shared" si="15"/>
        <v>2012</v>
      </c>
      <c r="L976">
        <f>MONTH(TBL[[#This Row],[Hire Date]])</f>
        <v>2</v>
      </c>
      <c r="M976" s="7">
        <v>61523</v>
      </c>
      <c r="N976" s="8">
        <v>0</v>
      </c>
      <c r="O976" t="s">
        <v>19</v>
      </c>
      <c r="P976" t="s">
        <v>29</v>
      </c>
      <c r="Q976" s="1" t="s">
        <v>21</v>
      </c>
    </row>
    <row r="977" spans="1:17" x14ac:dyDescent="0.35">
      <c r="A977" t="s">
        <v>1940</v>
      </c>
      <c r="B977" t="s">
        <v>1941</v>
      </c>
      <c r="C977" t="s">
        <v>14</v>
      </c>
      <c r="D977" t="s">
        <v>23</v>
      </c>
      <c r="E977" t="s">
        <v>32</v>
      </c>
      <c r="F977" t="s">
        <v>28</v>
      </c>
      <c r="G977" t="s">
        <v>47</v>
      </c>
      <c r="H977">
        <v>45</v>
      </c>
      <c r="I977" t="str">
        <f>IF(TBL[[#This Row],[Age]]&gt;=60, "Old", IF(TBL[[#This Row],[Age]]&gt;=30, "Adult", "Young"))</f>
        <v>Adult</v>
      </c>
      <c r="J977" s="1">
        <v>40524</v>
      </c>
      <c r="K977">
        <f t="shared" si="15"/>
        <v>2010</v>
      </c>
      <c r="L977">
        <f>MONTH(TBL[[#This Row],[Hire Date]])</f>
        <v>12</v>
      </c>
      <c r="M977" s="7">
        <v>190512</v>
      </c>
      <c r="N977" s="8">
        <v>0.32</v>
      </c>
      <c r="O977" t="s">
        <v>19</v>
      </c>
      <c r="P977" t="s">
        <v>29</v>
      </c>
      <c r="Q977" s="1" t="s">
        <v>21</v>
      </c>
    </row>
    <row r="978" spans="1:17" x14ac:dyDescent="0.35">
      <c r="A978" t="s">
        <v>1942</v>
      </c>
      <c r="B978" t="s">
        <v>1943</v>
      </c>
      <c r="C978" t="s">
        <v>84</v>
      </c>
      <c r="D978" t="s">
        <v>31</v>
      </c>
      <c r="E978" t="s">
        <v>44</v>
      </c>
      <c r="F978" t="s">
        <v>17</v>
      </c>
      <c r="G978" t="s">
        <v>24</v>
      </c>
      <c r="H978">
        <v>37</v>
      </c>
      <c r="I978" t="str">
        <f>IF(TBL[[#This Row],[Age]]&gt;=60, "Old", IF(TBL[[#This Row],[Age]]&gt;=30, "Adult", "Young"))</f>
        <v>Adult</v>
      </c>
      <c r="J978" s="1">
        <v>41318</v>
      </c>
      <c r="K978">
        <f t="shared" si="15"/>
        <v>2013</v>
      </c>
      <c r="L978">
        <f>MONTH(TBL[[#This Row],[Hire Date]])</f>
        <v>2</v>
      </c>
      <c r="M978" s="7">
        <v>124827</v>
      </c>
      <c r="N978" s="8">
        <v>0</v>
      </c>
      <c r="O978" t="s">
        <v>33</v>
      </c>
      <c r="P978" t="s">
        <v>60</v>
      </c>
      <c r="Q978" s="1" t="s">
        <v>21</v>
      </c>
    </row>
    <row r="979" spans="1:17" x14ac:dyDescent="0.35">
      <c r="A979" t="s">
        <v>276</v>
      </c>
      <c r="B979" t="s">
        <v>1944</v>
      </c>
      <c r="C979" t="s">
        <v>62</v>
      </c>
      <c r="D979" t="s">
        <v>65</v>
      </c>
      <c r="E979" t="s">
        <v>36</v>
      </c>
      <c r="F979" t="s">
        <v>28</v>
      </c>
      <c r="G979" t="s">
        <v>18</v>
      </c>
      <c r="H979">
        <v>57</v>
      </c>
      <c r="I979" t="str">
        <f>IF(TBL[[#This Row],[Age]]&gt;=60, "Old", IF(TBL[[#This Row],[Age]]&gt;=30, "Adult", "Young"))</f>
        <v>Adult</v>
      </c>
      <c r="J979" s="1">
        <v>43484</v>
      </c>
      <c r="K979">
        <f t="shared" si="15"/>
        <v>2019</v>
      </c>
      <c r="L979">
        <f>MONTH(TBL[[#This Row],[Hire Date]])</f>
        <v>1</v>
      </c>
      <c r="M979" s="7">
        <v>101577</v>
      </c>
      <c r="N979" s="8">
        <v>0.05</v>
      </c>
      <c r="O979" t="s">
        <v>19</v>
      </c>
      <c r="P979" t="s">
        <v>20</v>
      </c>
      <c r="Q979" s="1" t="s">
        <v>21</v>
      </c>
    </row>
    <row r="980" spans="1:17" x14ac:dyDescent="0.35">
      <c r="A980" t="s">
        <v>1945</v>
      </c>
      <c r="B980" t="s">
        <v>1946</v>
      </c>
      <c r="C980" t="s">
        <v>62</v>
      </c>
      <c r="D980" t="s">
        <v>65</v>
      </c>
      <c r="E980" t="s">
        <v>36</v>
      </c>
      <c r="F980" t="s">
        <v>17</v>
      </c>
      <c r="G980" t="s">
        <v>51</v>
      </c>
      <c r="H980">
        <v>44</v>
      </c>
      <c r="I980" t="str">
        <f>IF(TBL[[#This Row],[Age]]&gt;=60, "Old", IF(TBL[[#This Row],[Age]]&gt;=30, "Adult", "Young"))</f>
        <v>Adult</v>
      </c>
      <c r="J980" s="1">
        <v>38642</v>
      </c>
      <c r="K980">
        <f t="shared" si="15"/>
        <v>2005</v>
      </c>
      <c r="L980">
        <f>MONTH(TBL[[#This Row],[Hire Date]])</f>
        <v>10</v>
      </c>
      <c r="M980" s="7">
        <v>105223</v>
      </c>
      <c r="N980" s="8">
        <v>0.1</v>
      </c>
      <c r="O980" t="s">
        <v>19</v>
      </c>
      <c r="P980" t="s">
        <v>39</v>
      </c>
      <c r="Q980" s="1" t="s">
        <v>21</v>
      </c>
    </row>
    <row r="981" spans="1:17" x14ac:dyDescent="0.35">
      <c r="A981" t="s">
        <v>153</v>
      </c>
      <c r="B981" t="s">
        <v>1947</v>
      </c>
      <c r="C981" t="s">
        <v>91</v>
      </c>
      <c r="D981" t="s">
        <v>27</v>
      </c>
      <c r="E981" t="s">
        <v>32</v>
      </c>
      <c r="F981" t="s">
        <v>28</v>
      </c>
      <c r="G981" t="s">
        <v>51</v>
      </c>
      <c r="H981">
        <v>48</v>
      </c>
      <c r="I981" t="str">
        <f>IF(TBL[[#This Row],[Age]]&gt;=60, "Old", IF(TBL[[#This Row],[Age]]&gt;=30, "Adult", "Young"))</f>
        <v>Adult</v>
      </c>
      <c r="J981" s="1">
        <v>39635</v>
      </c>
      <c r="K981">
        <f t="shared" si="15"/>
        <v>2008</v>
      </c>
      <c r="L981">
        <f>MONTH(TBL[[#This Row],[Hire Date]])</f>
        <v>7</v>
      </c>
      <c r="M981" s="7">
        <v>94815</v>
      </c>
      <c r="N981" s="8">
        <v>0</v>
      </c>
      <c r="O981" t="s">
        <v>19</v>
      </c>
      <c r="P981" t="s">
        <v>20</v>
      </c>
      <c r="Q981" s="1" t="s">
        <v>21</v>
      </c>
    </row>
    <row r="982" spans="1:17" x14ac:dyDescent="0.35">
      <c r="A982" t="s">
        <v>1948</v>
      </c>
      <c r="B982" t="s">
        <v>1949</v>
      </c>
      <c r="C982" t="s">
        <v>62</v>
      </c>
      <c r="D982" t="s">
        <v>65</v>
      </c>
      <c r="E982" t="s">
        <v>44</v>
      </c>
      <c r="F982" t="s">
        <v>17</v>
      </c>
      <c r="G982" t="s">
        <v>24</v>
      </c>
      <c r="H982">
        <v>25</v>
      </c>
      <c r="I982" t="str">
        <f>IF(TBL[[#This Row],[Age]]&gt;=60, "Old", IF(TBL[[#This Row],[Age]]&gt;=30, "Adult", "Young"))</f>
        <v>Young</v>
      </c>
      <c r="J982" s="1">
        <v>44545</v>
      </c>
      <c r="K982">
        <f t="shared" si="15"/>
        <v>2021</v>
      </c>
      <c r="L982">
        <f>MONTH(TBL[[#This Row],[Hire Date]])</f>
        <v>12</v>
      </c>
      <c r="M982" s="7">
        <v>114893</v>
      </c>
      <c r="N982" s="8">
        <v>0.06</v>
      </c>
      <c r="O982" t="s">
        <v>33</v>
      </c>
      <c r="P982" t="s">
        <v>34</v>
      </c>
      <c r="Q982" s="1" t="s">
        <v>21</v>
      </c>
    </row>
    <row r="983" spans="1:17" x14ac:dyDescent="0.35">
      <c r="A983" t="s">
        <v>403</v>
      </c>
      <c r="B983" t="s">
        <v>1950</v>
      </c>
      <c r="C983" t="s">
        <v>42</v>
      </c>
      <c r="D983" t="s">
        <v>43</v>
      </c>
      <c r="E983" t="s">
        <v>44</v>
      </c>
      <c r="F983" t="s">
        <v>17</v>
      </c>
      <c r="G983" t="s">
        <v>51</v>
      </c>
      <c r="H983">
        <v>35</v>
      </c>
      <c r="I983" t="str">
        <f>IF(TBL[[#This Row],[Age]]&gt;=60, "Old", IF(TBL[[#This Row],[Age]]&gt;=30, "Adult", "Young"))</f>
        <v>Adult</v>
      </c>
      <c r="J983" s="1">
        <v>42745</v>
      </c>
      <c r="K983">
        <f t="shared" si="15"/>
        <v>2017</v>
      </c>
      <c r="L983">
        <f>MONTH(TBL[[#This Row],[Hire Date]])</f>
        <v>1</v>
      </c>
      <c r="M983" s="7">
        <v>80622</v>
      </c>
      <c r="N983" s="8">
        <v>0</v>
      </c>
      <c r="O983" t="s">
        <v>19</v>
      </c>
      <c r="P983" t="s">
        <v>25</v>
      </c>
      <c r="Q983" s="1" t="s">
        <v>21</v>
      </c>
    </row>
    <row r="984" spans="1:17" x14ac:dyDescent="0.35">
      <c r="A984" t="s">
        <v>463</v>
      </c>
      <c r="B984" t="s">
        <v>1951</v>
      </c>
      <c r="C984" t="s">
        <v>14</v>
      </c>
      <c r="D984" t="s">
        <v>27</v>
      </c>
      <c r="E984" t="s">
        <v>44</v>
      </c>
      <c r="F984" t="s">
        <v>17</v>
      </c>
      <c r="G984" t="s">
        <v>24</v>
      </c>
      <c r="H984">
        <v>57</v>
      </c>
      <c r="I984" t="str">
        <f>IF(TBL[[#This Row],[Age]]&gt;=60, "Old", IF(TBL[[#This Row],[Age]]&gt;=30, "Adult", "Young"))</f>
        <v>Adult</v>
      </c>
      <c r="J984" s="1">
        <v>42685</v>
      </c>
      <c r="K984">
        <f t="shared" si="15"/>
        <v>2016</v>
      </c>
      <c r="L984">
        <f>MONTH(TBL[[#This Row],[Hire Date]])</f>
        <v>11</v>
      </c>
      <c r="M984" s="7">
        <v>246589</v>
      </c>
      <c r="N984" s="8">
        <v>0.33</v>
      </c>
      <c r="O984" t="s">
        <v>19</v>
      </c>
      <c r="P984" t="s">
        <v>39</v>
      </c>
      <c r="Q984" s="1">
        <v>42820</v>
      </c>
    </row>
    <row r="985" spans="1:17" x14ac:dyDescent="0.35">
      <c r="A985" t="s">
        <v>1952</v>
      </c>
      <c r="B985" t="s">
        <v>1953</v>
      </c>
      <c r="C985" t="s">
        <v>62</v>
      </c>
      <c r="D985" t="s">
        <v>43</v>
      </c>
      <c r="E985" t="s">
        <v>44</v>
      </c>
      <c r="F985" t="s">
        <v>28</v>
      </c>
      <c r="G985" t="s">
        <v>24</v>
      </c>
      <c r="H985">
        <v>49</v>
      </c>
      <c r="I985" t="str">
        <f>IF(TBL[[#This Row],[Age]]&gt;=60, "Old", IF(TBL[[#This Row],[Age]]&gt;=30, "Adult", "Young"))</f>
        <v>Adult</v>
      </c>
      <c r="J985" s="1">
        <v>43240</v>
      </c>
      <c r="K985">
        <f t="shared" si="15"/>
        <v>2018</v>
      </c>
      <c r="L985">
        <f>MONTH(TBL[[#This Row],[Hire Date]])</f>
        <v>5</v>
      </c>
      <c r="M985" s="7">
        <v>119397</v>
      </c>
      <c r="N985" s="8">
        <v>0.09</v>
      </c>
      <c r="O985" t="s">
        <v>33</v>
      </c>
      <c r="P985" t="s">
        <v>60</v>
      </c>
      <c r="Q985" s="1">
        <v>43538</v>
      </c>
    </row>
    <row r="986" spans="1:17" x14ac:dyDescent="0.35">
      <c r="A986" t="s">
        <v>1954</v>
      </c>
      <c r="B986" t="s">
        <v>1955</v>
      </c>
      <c r="C986" t="s">
        <v>40</v>
      </c>
      <c r="D986" t="s">
        <v>50</v>
      </c>
      <c r="E986" t="s">
        <v>32</v>
      </c>
      <c r="F986" t="s">
        <v>17</v>
      </c>
      <c r="G986" t="s">
        <v>24</v>
      </c>
      <c r="H986">
        <v>25</v>
      </c>
      <c r="I986" t="str">
        <f>IF(TBL[[#This Row],[Age]]&gt;=60, "Old", IF(TBL[[#This Row],[Age]]&gt;=30, "Adult", "Young"))</f>
        <v>Young</v>
      </c>
      <c r="J986" s="1">
        <v>44549</v>
      </c>
      <c r="K986">
        <f t="shared" si="15"/>
        <v>2021</v>
      </c>
      <c r="L986">
        <f>MONTH(TBL[[#This Row],[Hire Date]])</f>
        <v>12</v>
      </c>
      <c r="M986" s="7">
        <v>150666</v>
      </c>
      <c r="N986" s="8">
        <v>0.23</v>
      </c>
      <c r="O986" t="s">
        <v>33</v>
      </c>
      <c r="P986" t="s">
        <v>34</v>
      </c>
      <c r="Q986" s="1" t="s">
        <v>21</v>
      </c>
    </row>
    <row r="987" spans="1:17" x14ac:dyDescent="0.35">
      <c r="A987" t="s">
        <v>1956</v>
      </c>
      <c r="B987" t="s">
        <v>1957</v>
      </c>
      <c r="C987" t="s">
        <v>61</v>
      </c>
      <c r="D987" t="s">
        <v>27</v>
      </c>
      <c r="E987" t="s">
        <v>16</v>
      </c>
      <c r="F987" t="s">
        <v>17</v>
      </c>
      <c r="G987" t="s">
        <v>18</v>
      </c>
      <c r="H987">
        <v>46</v>
      </c>
      <c r="I987" t="str">
        <f>IF(TBL[[#This Row],[Age]]&gt;=60, "Old", IF(TBL[[#This Row],[Age]]&gt;=30, "Adult", "Young"))</f>
        <v>Adult</v>
      </c>
      <c r="J987" s="1">
        <v>37265</v>
      </c>
      <c r="K987">
        <f t="shared" si="15"/>
        <v>2002</v>
      </c>
      <c r="L987">
        <f>MONTH(TBL[[#This Row],[Hire Date]])</f>
        <v>1</v>
      </c>
      <c r="M987" s="7">
        <v>148035</v>
      </c>
      <c r="N987" s="8">
        <v>0.14000000000000001</v>
      </c>
      <c r="O987" t="s">
        <v>19</v>
      </c>
      <c r="P987" t="s">
        <v>39</v>
      </c>
      <c r="Q987" s="1" t="s">
        <v>21</v>
      </c>
    </row>
    <row r="988" spans="1:17" x14ac:dyDescent="0.35">
      <c r="A988" t="s">
        <v>519</v>
      </c>
      <c r="B988" t="s">
        <v>1958</v>
      </c>
      <c r="C988" t="s">
        <v>40</v>
      </c>
      <c r="D988" t="s">
        <v>15</v>
      </c>
      <c r="E988" t="s">
        <v>32</v>
      </c>
      <c r="F988" t="s">
        <v>28</v>
      </c>
      <c r="G988" t="s">
        <v>24</v>
      </c>
      <c r="H988">
        <v>60</v>
      </c>
      <c r="I988" t="str">
        <f>IF(TBL[[#This Row],[Age]]&gt;=60, "Old", IF(TBL[[#This Row],[Age]]&gt;=30, "Adult", "Young"))</f>
        <v>Old</v>
      </c>
      <c r="J988" s="1">
        <v>42891</v>
      </c>
      <c r="K988">
        <f t="shared" si="15"/>
        <v>2017</v>
      </c>
      <c r="L988">
        <f>MONTH(TBL[[#This Row],[Hire Date]])</f>
        <v>6</v>
      </c>
      <c r="M988" s="7">
        <v>158898</v>
      </c>
      <c r="N988" s="8">
        <v>0.18</v>
      </c>
      <c r="O988" t="s">
        <v>19</v>
      </c>
      <c r="P988" t="s">
        <v>45</v>
      </c>
      <c r="Q988" s="1" t="s">
        <v>21</v>
      </c>
    </row>
    <row r="989" spans="1:17" x14ac:dyDescent="0.35">
      <c r="A989" t="s">
        <v>1959</v>
      </c>
      <c r="B989" t="s">
        <v>1960</v>
      </c>
      <c r="C989" t="s">
        <v>129</v>
      </c>
      <c r="D989" t="s">
        <v>31</v>
      </c>
      <c r="E989" t="s">
        <v>32</v>
      </c>
      <c r="F989" t="s">
        <v>17</v>
      </c>
      <c r="G989" t="s">
        <v>24</v>
      </c>
      <c r="H989">
        <v>45</v>
      </c>
      <c r="I989" t="str">
        <f>IF(TBL[[#This Row],[Age]]&gt;=60, "Old", IF(TBL[[#This Row],[Age]]&gt;=30, "Adult", "Young"))</f>
        <v>Adult</v>
      </c>
      <c r="J989" s="1">
        <v>40967</v>
      </c>
      <c r="K989">
        <f t="shared" si="15"/>
        <v>2012</v>
      </c>
      <c r="L989">
        <f>MONTH(TBL[[#This Row],[Hire Date]])</f>
        <v>2</v>
      </c>
      <c r="M989" s="7">
        <v>89659</v>
      </c>
      <c r="N989" s="8">
        <v>0</v>
      </c>
      <c r="O989" t="s">
        <v>33</v>
      </c>
      <c r="P989" t="s">
        <v>60</v>
      </c>
      <c r="Q989" s="1" t="s">
        <v>21</v>
      </c>
    </row>
    <row r="990" spans="1:17" x14ac:dyDescent="0.35">
      <c r="A990" t="s">
        <v>1961</v>
      </c>
      <c r="B990" t="s">
        <v>1962</v>
      </c>
      <c r="C990" t="s">
        <v>40</v>
      </c>
      <c r="D990" t="s">
        <v>50</v>
      </c>
      <c r="E990" t="s">
        <v>44</v>
      </c>
      <c r="F990" t="s">
        <v>17</v>
      </c>
      <c r="G990" t="s">
        <v>18</v>
      </c>
      <c r="H990">
        <v>39</v>
      </c>
      <c r="I990" t="str">
        <f>IF(TBL[[#This Row],[Age]]&gt;=60, "Old", IF(TBL[[#This Row],[Age]]&gt;=30, "Adult", "Young"))</f>
        <v>Adult</v>
      </c>
      <c r="J990" s="1">
        <v>39201</v>
      </c>
      <c r="K990">
        <f t="shared" si="15"/>
        <v>2007</v>
      </c>
      <c r="L990">
        <f>MONTH(TBL[[#This Row],[Hire Date]])</f>
        <v>4</v>
      </c>
      <c r="M990" s="7">
        <v>171487</v>
      </c>
      <c r="N990" s="8">
        <v>0.23</v>
      </c>
      <c r="O990" t="s">
        <v>19</v>
      </c>
      <c r="P990" t="s">
        <v>39</v>
      </c>
      <c r="Q990" s="1" t="s">
        <v>21</v>
      </c>
    </row>
    <row r="991" spans="1:17" x14ac:dyDescent="0.35">
      <c r="A991" t="s">
        <v>1963</v>
      </c>
      <c r="B991" t="s">
        <v>1964</v>
      </c>
      <c r="C991" t="s">
        <v>14</v>
      </c>
      <c r="D991" t="s">
        <v>50</v>
      </c>
      <c r="E991" t="s">
        <v>36</v>
      </c>
      <c r="F991" t="s">
        <v>17</v>
      </c>
      <c r="G991" t="s">
        <v>51</v>
      </c>
      <c r="H991">
        <v>43</v>
      </c>
      <c r="I991" t="str">
        <f>IF(TBL[[#This Row],[Age]]&gt;=60, "Old", IF(TBL[[#This Row],[Age]]&gt;=30, "Adult", "Young"))</f>
        <v>Adult</v>
      </c>
      <c r="J991" s="1">
        <v>42603</v>
      </c>
      <c r="K991">
        <f t="shared" si="15"/>
        <v>2016</v>
      </c>
      <c r="L991">
        <f>MONTH(TBL[[#This Row],[Hire Date]])</f>
        <v>8</v>
      </c>
      <c r="M991" s="7">
        <v>258498</v>
      </c>
      <c r="N991" s="8">
        <v>0.35</v>
      </c>
      <c r="O991" t="s">
        <v>19</v>
      </c>
      <c r="P991" t="s">
        <v>29</v>
      </c>
      <c r="Q991" s="1" t="s">
        <v>21</v>
      </c>
    </row>
    <row r="992" spans="1:17" x14ac:dyDescent="0.35">
      <c r="A992" t="s">
        <v>313</v>
      </c>
      <c r="B992" t="s">
        <v>1965</v>
      </c>
      <c r="C992" t="s">
        <v>61</v>
      </c>
      <c r="D992" t="s">
        <v>27</v>
      </c>
      <c r="E992" t="s">
        <v>16</v>
      </c>
      <c r="F992" t="s">
        <v>28</v>
      </c>
      <c r="G992" t="s">
        <v>24</v>
      </c>
      <c r="H992">
        <v>37</v>
      </c>
      <c r="I992" t="str">
        <f>IF(TBL[[#This Row],[Age]]&gt;=60, "Old", IF(TBL[[#This Row],[Age]]&gt;=30, "Adult", "Young"))</f>
        <v>Adult</v>
      </c>
      <c r="J992" s="1">
        <v>40511</v>
      </c>
      <c r="K992">
        <f t="shared" si="15"/>
        <v>2010</v>
      </c>
      <c r="L992">
        <f>MONTH(TBL[[#This Row],[Hire Date]])</f>
        <v>11</v>
      </c>
      <c r="M992" s="7">
        <v>146961</v>
      </c>
      <c r="N992" s="8">
        <v>0.11</v>
      </c>
      <c r="O992" t="s">
        <v>19</v>
      </c>
      <c r="P992" t="s">
        <v>29</v>
      </c>
      <c r="Q992" s="1" t="s">
        <v>21</v>
      </c>
    </row>
    <row r="993" spans="1:17" x14ac:dyDescent="0.35">
      <c r="A993" t="s">
        <v>1983</v>
      </c>
      <c r="B993" t="s">
        <v>1966</v>
      </c>
      <c r="C993" t="s">
        <v>77</v>
      </c>
      <c r="D993" t="s">
        <v>23</v>
      </c>
      <c r="E993" t="s">
        <v>16</v>
      </c>
      <c r="F993" t="s">
        <v>28</v>
      </c>
      <c r="G993" t="s">
        <v>51</v>
      </c>
      <c r="H993">
        <v>48</v>
      </c>
      <c r="I993" t="str">
        <f>IF(TBL[[#This Row],[Age]]&gt;=60, "Old", IF(TBL[[#This Row],[Age]]&gt;=30, "Adult", "Young"))</f>
        <v>Adult</v>
      </c>
      <c r="J993" s="1">
        <v>35907</v>
      </c>
      <c r="K993">
        <f t="shared" si="15"/>
        <v>1998</v>
      </c>
      <c r="L993">
        <f>MONTH(TBL[[#This Row],[Hire Date]])</f>
        <v>4</v>
      </c>
      <c r="M993" s="7">
        <v>85369</v>
      </c>
      <c r="N993" s="8">
        <v>0</v>
      </c>
      <c r="O993" t="s">
        <v>52</v>
      </c>
      <c r="P993" t="s">
        <v>81</v>
      </c>
      <c r="Q993" s="1">
        <v>38318</v>
      </c>
    </row>
    <row r="994" spans="1:17" x14ac:dyDescent="0.35">
      <c r="A994" t="s">
        <v>1984</v>
      </c>
      <c r="B994" t="s">
        <v>1967</v>
      </c>
      <c r="C994" t="s">
        <v>55</v>
      </c>
      <c r="D994" t="s">
        <v>27</v>
      </c>
      <c r="E994" t="s">
        <v>36</v>
      </c>
      <c r="F994" t="s">
        <v>28</v>
      </c>
      <c r="G994" t="s">
        <v>18</v>
      </c>
      <c r="H994">
        <v>30</v>
      </c>
      <c r="I994" t="str">
        <f>IF(TBL[[#This Row],[Age]]&gt;=60, "Old", IF(TBL[[#This Row],[Age]]&gt;=30, "Adult", "Young"))</f>
        <v>Adult</v>
      </c>
      <c r="J994" s="1">
        <v>42169</v>
      </c>
      <c r="K994">
        <f t="shared" si="15"/>
        <v>2015</v>
      </c>
      <c r="L994">
        <f>MONTH(TBL[[#This Row],[Hire Date]])</f>
        <v>6</v>
      </c>
      <c r="M994" s="7">
        <v>67489</v>
      </c>
      <c r="N994" s="8">
        <v>0</v>
      </c>
      <c r="O994" t="s">
        <v>19</v>
      </c>
      <c r="P994" t="s">
        <v>20</v>
      </c>
      <c r="Q994" s="1" t="s">
        <v>21</v>
      </c>
    </row>
    <row r="995" spans="1:17" x14ac:dyDescent="0.35">
      <c r="A995" t="s">
        <v>1968</v>
      </c>
      <c r="B995" t="s">
        <v>1969</v>
      </c>
      <c r="C995" t="s">
        <v>40</v>
      </c>
      <c r="D995" t="s">
        <v>27</v>
      </c>
      <c r="E995" t="s">
        <v>36</v>
      </c>
      <c r="F995" t="s">
        <v>17</v>
      </c>
      <c r="G995" t="s">
        <v>18</v>
      </c>
      <c r="H995">
        <v>46</v>
      </c>
      <c r="I995" t="str">
        <f>IF(TBL[[#This Row],[Age]]&gt;=60, "Old", IF(TBL[[#This Row],[Age]]&gt;=30, "Adult", "Young"))</f>
        <v>Adult</v>
      </c>
      <c r="J995" s="1">
        <v>43379</v>
      </c>
      <c r="K995">
        <f t="shared" si="15"/>
        <v>2018</v>
      </c>
      <c r="L995">
        <f>MONTH(TBL[[#This Row],[Hire Date]])</f>
        <v>10</v>
      </c>
      <c r="M995" s="7">
        <v>166259</v>
      </c>
      <c r="N995" s="8">
        <v>0.17</v>
      </c>
      <c r="O995" t="s">
        <v>19</v>
      </c>
      <c r="P995" t="s">
        <v>20</v>
      </c>
      <c r="Q995" s="1" t="s">
        <v>21</v>
      </c>
    </row>
    <row r="996" spans="1:17" x14ac:dyDescent="0.35">
      <c r="A996" t="s">
        <v>1970</v>
      </c>
      <c r="B996" t="s">
        <v>1971</v>
      </c>
      <c r="C996" t="s">
        <v>76</v>
      </c>
      <c r="D996" t="s">
        <v>27</v>
      </c>
      <c r="E996" t="s">
        <v>32</v>
      </c>
      <c r="F996" t="s">
        <v>17</v>
      </c>
      <c r="G996" t="s">
        <v>24</v>
      </c>
      <c r="H996">
        <v>55</v>
      </c>
      <c r="I996" t="str">
        <f>IF(TBL[[#This Row],[Age]]&gt;=60, "Old", IF(TBL[[#This Row],[Age]]&gt;=30, "Adult", "Young"))</f>
        <v>Adult</v>
      </c>
      <c r="J996" s="1">
        <v>39820</v>
      </c>
      <c r="K996">
        <f t="shared" si="15"/>
        <v>2009</v>
      </c>
      <c r="L996">
        <f>MONTH(TBL[[#This Row],[Hire Date]])</f>
        <v>1</v>
      </c>
      <c r="M996" s="7">
        <v>47032</v>
      </c>
      <c r="N996" s="8">
        <v>0</v>
      </c>
      <c r="O996" t="s">
        <v>19</v>
      </c>
      <c r="P996" t="s">
        <v>29</v>
      </c>
      <c r="Q996" s="1" t="s">
        <v>21</v>
      </c>
    </row>
    <row r="997" spans="1:17" x14ac:dyDescent="0.35">
      <c r="A997" t="s">
        <v>1972</v>
      </c>
      <c r="B997" t="s">
        <v>1973</v>
      </c>
      <c r="C997" t="s">
        <v>42</v>
      </c>
      <c r="D997" t="s">
        <v>43</v>
      </c>
      <c r="E997" t="s">
        <v>44</v>
      </c>
      <c r="F997" t="s">
        <v>28</v>
      </c>
      <c r="G997" t="s">
        <v>18</v>
      </c>
      <c r="H997">
        <v>33</v>
      </c>
      <c r="I997" t="str">
        <f>IF(TBL[[#This Row],[Age]]&gt;=60, "Old", IF(TBL[[#This Row],[Age]]&gt;=30, "Adult", "Young"))</f>
        <v>Adult</v>
      </c>
      <c r="J997" s="1">
        <v>42631</v>
      </c>
      <c r="K997">
        <f t="shared" si="15"/>
        <v>2016</v>
      </c>
      <c r="L997">
        <f>MONTH(TBL[[#This Row],[Hire Date]])</f>
        <v>9</v>
      </c>
      <c r="M997" s="7">
        <v>98427</v>
      </c>
      <c r="N997" s="8">
        <v>0</v>
      </c>
      <c r="O997" t="s">
        <v>19</v>
      </c>
      <c r="P997" t="s">
        <v>29</v>
      </c>
      <c r="Q997" s="1" t="s">
        <v>21</v>
      </c>
    </row>
    <row r="998" spans="1:17" x14ac:dyDescent="0.35">
      <c r="A998" t="s">
        <v>1974</v>
      </c>
      <c r="B998" t="s">
        <v>1975</v>
      </c>
      <c r="C998" t="s">
        <v>68</v>
      </c>
      <c r="D998" t="s">
        <v>15</v>
      </c>
      <c r="E998" t="s">
        <v>44</v>
      </c>
      <c r="F998" t="s">
        <v>17</v>
      </c>
      <c r="G998" t="s">
        <v>24</v>
      </c>
      <c r="H998">
        <v>44</v>
      </c>
      <c r="I998" t="str">
        <f>IF(TBL[[#This Row],[Age]]&gt;=60, "Old", IF(TBL[[#This Row],[Age]]&gt;=30, "Adult", "Young"))</f>
        <v>Adult</v>
      </c>
      <c r="J998" s="1">
        <v>40329</v>
      </c>
      <c r="K998">
        <f t="shared" si="15"/>
        <v>2010</v>
      </c>
      <c r="L998">
        <f>MONTH(TBL[[#This Row],[Hire Date]])</f>
        <v>5</v>
      </c>
      <c r="M998" s="7">
        <v>47387</v>
      </c>
      <c r="N998" s="8">
        <v>0</v>
      </c>
      <c r="O998" t="s">
        <v>33</v>
      </c>
      <c r="P998" t="s">
        <v>34</v>
      </c>
      <c r="Q998" s="1">
        <v>43108</v>
      </c>
    </row>
    <row r="999" spans="1:17" x14ac:dyDescent="0.35">
      <c r="A999" t="s">
        <v>1976</v>
      </c>
      <c r="B999" t="s">
        <v>1977</v>
      </c>
      <c r="C999" t="s">
        <v>40</v>
      </c>
      <c r="D999" t="s">
        <v>43</v>
      </c>
      <c r="E999" t="s">
        <v>44</v>
      </c>
      <c r="F999" t="s">
        <v>28</v>
      </c>
      <c r="G999" t="s">
        <v>24</v>
      </c>
      <c r="H999">
        <v>31</v>
      </c>
      <c r="I999" t="str">
        <f>IF(TBL[[#This Row],[Age]]&gt;=60, "Old", IF(TBL[[#This Row],[Age]]&gt;=30, "Adult", "Young"))</f>
        <v>Adult</v>
      </c>
      <c r="J999" s="1">
        <v>43626</v>
      </c>
      <c r="K999">
        <f t="shared" si="15"/>
        <v>2019</v>
      </c>
      <c r="L999">
        <f>MONTH(TBL[[#This Row],[Hire Date]])</f>
        <v>6</v>
      </c>
      <c r="M999" s="7">
        <v>176710</v>
      </c>
      <c r="N999" s="8">
        <v>0.15</v>
      </c>
      <c r="O999" t="s">
        <v>19</v>
      </c>
      <c r="P999" t="s">
        <v>45</v>
      </c>
      <c r="Q999" s="1" t="s">
        <v>21</v>
      </c>
    </row>
    <row r="1000" spans="1:17" x14ac:dyDescent="0.35">
      <c r="A1000" t="s">
        <v>1978</v>
      </c>
      <c r="B1000" t="s">
        <v>1979</v>
      </c>
      <c r="C1000" t="s">
        <v>42</v>
      </c>
      <c r="D1000" t="s">
        <v>15</v>
      </c>
      <c r="E1000" t="s">
        <v>44</v>
      </c>
      <c r="F1000" t="s">
        <v>17</v>
      </c>
      <c r="G1000" t="s">
        <v>24</v>
      </c>
      <c r="H1000">
        <v>33</v>
      </c>
      <c r="I1000" t="str">
        <f>IF(TBL[[#This Row],[Age]]&gt;=60, "Old", IF(TBL[[#This Row],[Age]]&gt;=30, "Adult", "Young"))</f>
        <v>Adult</v>
      </c>
      <c r="J1000" s="1">
        <v>40936</v>
      </c>
      <c r="K1000">
        <f t="shared" si="15"/>
        <v>2012</v>
      </c>
      <c r="L1000">
        <f>MONTH(TBL[[#This Row],[Hire Date]])</f>
        <v>1</v>
      </c>
      <c r="M1000" s="7">
        <v>95960</v>
      </c>
      <c r="N1000" s="8">
        <v>0</v>
      </c>
      <c r="O1000" t="s">
        <v>33</v>
      </c>
      <c r="P1000" t="s">
        <v>34</v>
      </c>
      <c r="Q1000" s="1" t="s">
        <v>21</v>
      </c>
    </row>
    <row r="1001" spans="1:17" x14ac:dyDescent="0.35">
      <c r="A1001" t="s">
        <v>1980</v>
      </c>
      <c r="B1001" t="s">
        <v>1981</v>
      </c>
      <c r="C1001" t="s">
        <v>14</v>
      </c>
      <c r="D1001" t="s">
        <v>65</v>
      </c>
      <c r="E1001" t="s">
        <v>32</v>
      </c>
      <c r="F1001" t="s">
        <v>17</v>
      </c>
      <c r="G1001" t="s">
        <v>24</v>
      </c>
      <c r="H1001">
        <v>63</v>
      </c>
      <c r="I1001" t="str">
        <f>IF(TBL[[#This Row],[Age]]&gt;=60, "Old", IF(TBL[[#This Row],[Age]]&gt;=30, "Adult", "Young"))</f>
        <v>Old</v>
      </c>
      <c r="J1001" s="1">
        <v>44038</v>
      </c>
      <c r="K1001">
        <f t="shared" si="15"/>
        <v>2020</v>
      </c>
      <c r="L1001">
        <f>MONTH(TBL[[#This Row],[Hire Date]])</f>
        <v>7</v>
      </c>
      <c r="M1001" s="7">
        <v>216195</v>
      </c>
      <c r="N1001" s="8">
        <v>0.31</v>
      </c>
      <c r="O1001" t="s">
        <v>19</v>
      </c>
      <c r="P1001" t="s">
        <v>45</v>
      </c>
      <c r="Q1001" s="1"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USER</cp:lastModifiedBy>
  <dcterms:created xsi:type="dcterms:W3CDTF">2022-08-29T14:02:56Z</dcterms:created>
  <dcterms:modified xsi:type="dcterms:W3CDTF">2025-11-25T16:56:17Z</dcterms:modified>
</cp:coreProperties>
</file>