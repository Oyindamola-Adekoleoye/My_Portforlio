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7B31D6-BBEE-43EE-9B53-2BB0659D00AB}" xr6:coauthVersionLast="47" xr6:coauthVersionMax="47" xr10:uidLastSave="{00000000-0000-0000-0000-000000000000}"/>
  <bookViews>
    <workbookView xWindow="-110" yWindow="-110" windowWidth="19420" windowHeight="10300" activeTab="1" xr2:uid="{C117607D-C804-4E8A-8D51-D0D44E332512}"/>
  </bookViews>
  <sheets>
    <sheet name="Periodic Table" sheetId="4" r:id="rId1"/>
    <sheet name="Table 0" sheetId="2" r:id="rId2"/>
  </sheets>
  <definedNames>
    <definedName name="ExternalData_1" localSheetId="1" hidden="1">'Table 0'!$A$1:$A$119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2" i="2" a="1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FAB89-79D7-4459-9CC6-16B27163477B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<sst xmlns="http://schemas.openxmlformats.org/spreadsheetml/2006/main" count="1140" uniqueCount="413">
  <si>
    <t>Z</t>
  </si>
  <si>
    <t>Sym.</t>
  </si>
  <si>
    <t>Element</t>
  </si>
  <si>
    <t>Group</t>
  </si>
  <si>
    <t>Period</t>
  </si>
  <si>
    <t>Block</t>
  </si>
  <si>
    <t>Atomic weight [a] (Da)</t>
  </si>
  <si>
    <t>Density [b][c] (⁠g/cm3⁠)</t>
  </si>
  <si>
    <t>Melting point[d] (K)</t>
  </si>
  <si>
    <t>Boiling point[e] (K)</t>
  </si>
  <si>
    <t>Specific heat capacity[f] (⁠J/g · K⁠)</t>
  </si>
  <si>
    <t>Electro­negativity [g]</t>
  </si>
  <si>
    <t>Abundance in Earth's crust[h] (⁠mg/kg⁠)</t>
  </si>
  <si>
    <t>Origin[i]</t>
  </si>
  <si>
    <t>Phase[j]</t>
  </si>
  <si>
    <t>1</t>
  </si>
  <si>
    <t>H</t>
  </si>
  <si>
    <t>Hydrogen</t>
  </si>
  <si>
    <t>s-block</t>
  </si>
  <si>
    <t>primordial</t>
  </si>
  <si>
    <t>gas</t>
  </si>
  <si>
    <t>2</t>
  </si>
  <si>
    <t>He</t>
  </si>
  <si>
    <t>Helium</t>
  </si>
  <si>
    <t>18</t>
  </si>
  <si>
    <t>3</t>
  </si>
  <si>
    <t>Li</t>
  </si>
  <si>
    <t>Lithium</t>
  </si>
  <si>
    <t>20</t>
  </si>
  <si>
    <t>solid</t>
  </si>
  <si>
    <t>4</t>
  </si>
  <si>
    <t>Be</t>
  </si>
  <si>
    <t>Beryllium</t>
  </si>
  <si>
    <t>5</t>
  </si>
  <si>
    <t>B</t>
  </si>
  <si>
    <t>Boron</t>
  </si>
  <si>
    <t>13</t>
  </si>
  <si>
    <t>p-block</t>
  </si>
  <si>
    <t>10</t>
  </si>
  <si>
    <t>6</t>
  </si>
  <si>
    <t>C</t>
  </si>
  <si>
    <t>Carbon</t>
  </si>
  <si>
    <t>14</t>
  </si>
  <si>
    <t>&gt;4000</t>
  </si>
  <si>
    <t>7</t>
  </si>
  <si>
    <t>N</t>
  </si>
  <si>
    <t>Nitrogen</t>
  </si>
  <si>
    <t>15</t>
  </si>
  <si>
    <t>19</t>
  </si>
  <si>
    <t>8</t>
  </si>
  <si>
    <t>O</t>
  </si>
  <si>
    <t>Oxygen</t>
  </si>
  <si>
    <t>16</t>
  </si>
  <si>
    <t>9</t>
  </si>
  <si>
    <t>F</t>
  </si>
  <si>
    <t>Fluorine</t>
  </si>
  <si>
    <t>17</t>
  </si>
  <si>
    <t>Ne</t>
  </si>
  <si>
    <t>Neon</t>
  </si>
  <si>
    <t>11</t>
  </si>
  <si>
    <t>Na</t>
  </si>
  <si>
    <t>Sodium</t>
  </si>
  <si>
    <t>12</t>
  </si>
  <si>
    <t>Mg</t>
  </si>
  <si>
    <t>Magnesium</t>
  </si>
  <si>
    <t>Al</t>
  </si>
  <si>
    <t>Aluminium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</si>
  <si>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</si>
  <si>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</si>
  <si>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</si>
  <si>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</si>
  <si>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</si>
  <si>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</si>
  <si>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</si>
  <si>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</si>
  <si>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</si>
  <si>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</si>
  <si>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</si>
  <si>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</si>
  <si>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</si>
  <si>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</si>
  <si>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21</t>
  </si>
  <si>
    <t>Sc</t>
  </si>
  <si>
    <t>Scandium</t>
  </si>
  <si>
    <t>d-block</t>
  </si>
  <si>
    <t>22</t>
  </si>
  <si>
    <t>Ti</t>
  </si>
  <si>
    <t>Titanium</t>
  </si>
  <si>
    <t>23</t>
  </si>
  <si>
    <t>V</t>
  </si>
  <si>
    <t>Vanadium</t>
  </si>
  <si>
    <t>24</t>
  </si>
  <si>
    <t>Cr</t>
  </si>
  <si>
    <t>Chromium</t>
  </si>
  <si>
    <t>102</t>
  </si>
  <si>
    <t>25</t>
  </si>
  <si>
    <t>Mn</t>
  </si>
  <si>
    <t>Manganese</t>
  </si>
  <si>
    <t>26</t>
  </si>
  <si>
    <t>Fe</t>
  </si>
  <si>
    <t>Iron</t>
  </si>
  <si>
    <t>27</t>
  </si>
  <si>
    <t>Co</t>
  </si>
  <si>
    <t>Cobalt</t>
  </si>
  <si>
    <t>28</t>
  </si>
  <si>
    <t>Ni</t>
  </si>
  <si>
    <t>Nickel</t>
  </si>
  <si>
    <t>84</t>
  </si>
  <si>
    <t>29</t>
  </si>
  <si>
    <t>Cu</t>
  </si>
  <si>
    <t>Copper</t>
  </si>
  <si>
    <t>60</t>
  </si>
  <si>
    <t>30</t>
  </si>
  <si>
    <t>Zn</t>
  </si>
  <si>
    <t>Zinc</t>
  </si>
  <si>
    <t>70</t>
  </si>
  <si>
    <t>31</t>
  </si>
  <si>
    <t>Ga</t>
  </si>
  <si>
    <t>Gallium</t>
  </si>
  <si>
    <t>32</t>
  </si>
  <si>
    <t>Ge</t>
  </si>
  <si>
    <t>Germanium</t>
  </si>
  <si>
    <t>33</t>
  </si>
  <si>
    <t>As</t>
  </si>
  <si>
    <t>Arsenic</t>
  </si>
  <si>
    <t>34</t>
  </si>
  <si>
    <t>Se</t>
  </si>
  <si>
    <t>Selenium</t>
  </si>
  <si>
    <t>35</t>
  </si>
  <si>
    <t>Br</t>
  </si>
  <si>
    <t>Bromine</t>
  </si>
  <si>
    <t>liquid</t>
  </si>
  <si>
    <t>36</t>
  </si>
  <si>
    <t>Kr</t>
  </si>
  <si>
    <t>Krypton</t>
  </si>
  <si>
    <t>1×10−4</t>
  </si>
  <si>
    <t>37</t>
  </si>
  <si>
    <t>Rb</t>
  </si>
  <si>
    <t>Rubidium</t>
  </si>
  <si>
    <t>90</t>
  </si>
  <si>
    <t>38</t>
  </si>
  <si>
    <t>Sr</t>
  </si>
  <si>
    <t>Strontium</t>
  </si>
  <si>
    <t>39</t>
  </si>
  <si>
    <t>Y</t>
  </si>
  <si>
    <t>Yttrium</t>
  </si>
  <si>
    <t>40</t>
  </si>
  <si>
    <t>Zr</t>
  </si>
  <si>
    <t>Zirconium</t>
  </si>
  <si>
    <t>41</t>
  </si>
  <si>
    <t>Nb</t>
  </si>
  <si>
    <t>Niobium</t>
  </si>
  <si>
    <t>42</t>
  </si>
  <si>
    <t>Mo</t>
  </si>
  <si>
    <t>Molybdenum</t>
  </si>
  <si>
    <t>43</t>
  </si>
  <si>
    <t>Tc</t>
  </si>
  <si>
    <t>Technetium</t>
  </si>
  <si>
    <t>~ 3×10−9</t>
  </si>
  <si>
    <t>from decay</t>
  </si>
  <si>
    <t>44</t>
  </si>
  <si>
    <t>Ru</t>
  </si>
  <si>
    <t>Ruthenium</t>
  </si>
  <si>
    <t>45</t>
  </si>
  <si>
    <t>Rh</t>
  </si>
  <si>
    <t>Rhodium</t>
  </si>
  <si>
    <t>46</t>
  </si>
  <si>
    <t>Pd</t>
  </si>
  <si>
    <t>Palladium</t>
  </si>
  <si>
    <t>47</t>
  </si>
  <si>
    <t>Ag</t>
  </si>
  <si>
    <t>Silver</t>
  </si>
  <si>
    <t>48</t>
  </si>
  <si>
    <t>Cd</t>
  </si>
  <si>
    <t>Cadmium</t>
  </si>
  <si>
    <t>49</t>
  </si>
  <si>
    <t>In</t>
  </si>
  <si>
    <t>Indium</t>
  </si>
  <si>
    <t>50</t>
  </si>
  <si>
    <t>Sn</t>
  </si>
  <si>
    <t>Tin</t>
  </si>
  <si>
    <t>51</t>
  </si>
  <si>
    <t>Sb</t>
  </si>
  <si>
    <t>Antimony</t>
  </si>
  <si>
    <t>52</t>
  </si>
  <si>
    <t>Te</t>
  </si>
  <si>
    <t>Tellurium</t>
  </si>
  <si>
    <t>53</t>
  </si>
  <si>
    <t>I</t>
  </si>
  <si>
    <t>Iodine</t>
  </si>
  <si>
    <t>54</t>
  </si>
  <si>
    <t>Xe</t>
  </si>
  <si>
    <t>Xenon</t>
  </si>
  <si>
    <t>3×10−5</t>
  </si>
  <si>
    <t>55</t>
  </si>
  <si>
    <t>Cs</t>
  </si>
  <si>
    <t>Caesium</t>
  </si>
  <si>
    <t>56</t>
  </si>
  <si>
    <t>Ba</t>
  </si>
  <si>
    <t>Barium</t>
  </si>
  <si>
    <t>57</t>
  </si>
  <si>
    <t>La</t>
  </si>
  <si>
    <t>Lanthanum</t>
  </si>
  <si>
    <t>f-block groups</t>
  </si>
  <si>
    <t>f-block</t>
  </si>
  <si>
    <t>58</t>
  </si>
  <si>
    <t>Ce</t>
  </si>
  <si>
    <t>Cerium</t>
  </si>
  <si>
    <t>59</t>
  </si>
  <si>
    <t>Pr</t>
  </si>
  <si>
    <t>Praseodymium</t>
  </si>
  <si>
    <t>Nd</t>
  </si>
  <si>
    <t>Neodymium</t>
  </si>
  <si>
    <t>61</t>
  </si>
  <si>
    <t>Pm</t>
  </si>
  <si>
    <t>Promethium</t>
  </si>
  <si>
    <t>2×10−19</t>
  </si>
  <si>
    <t>62</t>
  </si>
  <si>
    <t>Sm</t>
  </si>
  <si>
    <t>Samarium</t>
  </si>
  <si>
    <t>63</t>
  </si>
  <si>
    <t>Eu</t>
  </si>
  <si>
    <t>Europium</t>
  </si>
  <si>
    <t>64</t>
  </si>
  <si>
    <t>Gd</t>
  </si>
  <si>
    <t>Gadolinium</t>
  </si>
  <si>
    <t>65</t>
  </si>
  <si>
    <t>Tb</t>
  </si>
  <si>
    <t>Terbium</t>
  </si>
  <si>
    <t>66</t>
  </si>
  <si>
    <t>Dy</t>
  </si>
  <si>
    <t>Dysprosium</t>
  </si>
  <si>
    <t>67</t>
  </si>
  <si>
    <t>Ho</t>
  </si>
  <si>
    <t>Holmium</t>
  </si>
  <si>
    <t>68</t>
  </si>
  <si>
    <t>Er</t>
  </si>
  <si>
    <t>Erbium</t>
  </si>
  <si>
    <t>69</t>
  </si>
  <si>
    <t>Tm</t>
  </si>
  <si>
    <t>Thulium</t>
  </si>
  <si>
    <t>Yb</t>
  </si>
  <si>
    <t>Ytterbium</t>
  </si>
  <si>
    <t>71</t>
  </si>
  <si>
    <t>Lu</t>
  </si>
  <si>
    <t>Lutetium</t>
  </si>
  <si>
    <t>72</t>
  </si>
  <si>
    <t>Hf</t>
  </si>
  <si>
    <t>Hafnium</t>
  </si>
  <si>
    <t>73</t>
  </si>
  <si>
    <t>Ta</t>
  </si>
  <si>
    <t>Tantalum</t>
  </si>
  <si>
    <t>74</t>
  </si>
  <si>
    <t>W</t>
  </si>
  <si>
    <t>Tungsten</t>
  </si>
  <si>
    <t>75</t>
  </si>
  <si>
    <t>Re</t>
  </si>
  <si>
    <t>Rhenium</t>
  </si>
  <si>
    <t>7×10−4</t>
  </si>
  <si>
    <t>76</t>
  </si>
  <si>
    <t>Os</t>
  </si>
  <si>
    <t>Osmium</t>
  </si>
  <si>
    <t>77</t>
  </si>
  <si>
    <t>Ir</t>
  </si>
  <si>
    <t>Iridium</t>
  </si>
  <si>
    <t>78</t>
  </si>
  <si>
    <t>Pt</t>
  </si>
  <si>
    <t>Platinum</t>
  </si>
  <si>
    <t>79</t>
  </si>
  <si>
    <t>Au</t>
  </si>
  <si>
    <t>Gold</t>
  </si>
  <si>
    <t>80</t>
  </si>
  <si>
    <t>Hg</t>
  </si>
  <si>
    <t>Mercury</t>
  </si>
  <si>
    <t>81</t>
  </si>
  <si>
    <t>Tl</t>
  </si>
  <si>
    <t>Thallium</t>
  </si>
  <si>
    <t>82</t>
  </si>
  <si>
    <t>Pb</t>
  </si>
  <si>
    <t>Lead</t>
  </si>
  <si>
    <t>83</t>
  </si>
  <si>
    <t>Bi</t>
  </si>
  <si>
    <t>Bismuth</t>
  </si>
  <si>
    <t>Po</t>
  </si>
  <si>
    <t>Polonium</t>
  </si>
  <si>
    <t>2×10−10</t>
  </si>
  <si>
    <t>85</t>
  </si>
  <si>
    <t>At</t>
  </si>
  <si>
    <t>Astatine</t>
  </si>
  <si>
    <t>3×10−20</t>
  </si>
  <si>
    <t>unknown phase</t>
  </si>
  <si>
    <t>86</t>
  </si>
  <si>
    <t>Rn</t>
  </si>
  <si>
    <t>Radon</t>
  </si>
  <si>
    <t>4×10−13</t>
  </si>
  <si>
    <t>87</t>
  </si>
  <si>
    <t>Fr</t>
  </si>
  <si>
    <t>Francium</t>
  </si>
  <si>
    <t>&gt;0.79</t>
  </si>
  <si>
    <t>~ 1×10−18</t>
  </si>
  <si>
    <t>88</t>
  </si>
  <si>
    <t>Ra</t>
  </si>
  <si>
    <t>Radium</t>
  </si>
  <si>
    <t>9×10−7</t>
  </si>
  <si>
    <t>89</t>
  </si>
  <si>
    <t>Ac</t>
  </si>
  <si>
    <t>Actinium</t>
  </si>
  <si>
    <t>5.5×10−10</t>
  </si>
  <si>
    <t>Th</t>
  </si>
  <si>
    <t>Thorium</t>
  </si>
  <si>
    <t>91</t>
  </si>
  <si>
    <t>Pa</t>
  </si>
  <si>
    <t>Protactinium</t>
  </si>
  <si>
    <t>1.4×10−6</t>
  </si>
  <si>
    <t>92</t>
  </si>
  <si>
    <t>U</t>
  </si>
  <si>
    <t>Uranium</t>
  </si>
  <si>
    <t>93</t>
  </si>
  <si>
    <t>Np</t>
  </si>
  <si>
    <t>Neptunium</t>
  </si>
  <si>
    <t>≤ 3×10−12</t>
  </si>
  <si>
    <t>94</t>
  </si>
  <si>
    <t>Pu</t>
  </si>
  <si>
    <t>Plutonium</t>
  </si>
  <si>
    <t>≤ 3×10−11</t>
  </si>
  <si>
    <t>95</t>
  </si>
  <si>
    <t>Am</t>
  </si>
  <si>
    <t>Americium</t>
  </si>
  <si>
    <t>synthetic</t>
  </si>
  <si>
    <t>96</t>
  </si>
  <si>
    <t>Cm</t>
  </si>
  <si>
    <t>Curium</t>
  </si>
  <si>
    <t>97</t>
  </si>
  <si>
    <t>Bk</t>
  </si>
  <si>
    <t>Berkelium</t>
  </si>
  <si>
    <t>98</t>
  </si>
  <si>
    <t>Cf</t>
  </si>
  <si>
    <t>Californium</t>
  </si>
  <si>
    <t>99</t>
  </si>
  <si>
    <t>Es</t>
  </si>
  <si>
    <t>Einsteinium</t>
  </si>
  <si>
    <t>100</t>
  </si>
  <si>
    <t>Fm</t>
  </si>
  <si>
    <t>Fermium</t>
  </si>
  <si>
    <t>101</t>
  </si>
  <si>
    <t>Md</t>
  </si>
  <si>
    <t>Mendelevium</t>
  </si>
  <si>
    <t>No</t>
  </si>
  <si>
    <t>Nobelium</t>
  </si>
  <si>
    <t>103</t>
  </si>
  <si>
    <t>Lr</t>
  </si>
  <si>
    <t>Lawrencium</t>
  </si>
  <si>
    <t>104</t>
  </si>
  <si>
    <t>Rf</t>
  </si>
  <si>
    <t>Rutherfordium</t>
  </si>
  <si>
    <t>105</t>
  </si>
  <si>
    <t>Db</t>
  </si>
  <si>
    <t>Dubnium</t>
  </si>
  <si>
    <t>106</t>
  </si>
  <si>
    <t>Sg</t>
  </si>
  <si>
    <t>Seaborgium</t>
  </si>
  <si>
    <t>107</t>
  </si>
  <si>
    <t>Bh</t>
  </si>
  <si>
    <t>Bohrium</t>
  </si>
  <si>
    <t>108</t>
  </si>
  <si>
    <t>Hs</t>
  </si>
  <si>
    <t>Hassium</t>
  </si>
  <si>
    <t>109</t>
  </si>
  <si>
    <t>Mt</t>
  </si>
  <si>
    <t>Meitnerium</t>
  </si>
  <si>
    <t>110</t>
  </si>
  <si>
    <t>Ds</t>
  </si>
  <si>
    <t>Darmstadtium</t>
  </si>
  <si>
    <t>111</t>
  </si>
  <si>
    <t>Rg</t>
  </si>
  <si>
    <t>Roentgenium</t>
  </si>
  <si>
    <t>112</t>
  </si>
  <si>
    <t>Cn</t>
  </si>
  <si>
    <t>Copernicium</t>
  </si>
  <si>
    <t>(283±11)</t>
  </si>
  <si>
    <t>(340±10)</t>
  </si>
  <si>
    <t>113</t>
  </si>
  <si>
    <t>Nh</t>
  </si>
  <si>
    <t>Nihonium</t>
  </si>
  <si>
    <t>114</t>
  </si>
  <si>
    <t>Fl</t>
  </si>
  <si>
    <t>Flerovium</t>
  </si>
  <si>
    <t>(11.4±0.3)</t>
  </si>
  <si>
    <t>(284±50)</t>
  </si>
  <si>
    <t>115</t>
  </si>
  <si>
    <t>Mc</t>
  </si>
  <si>
    <t>Moscovium</t>
  </si>
  <si>
    <t>116</t>
  </si>
  <si>
    <t>Lv</t>
  </si>
  <si>
    <t>Livermorium</t>
  </si>
  <si>
    <t>117</t>
  </si>
  <si>
    <t>Ts</t>
  </si>
  <si>
    <t>Tennessine</t>
  </si>
  <si>
    <t>118</t>
  </si>
  <si>
    <t>Og</t>
  </si>
  <si>
    <t>Oganesson</t>
  </si>
  <si>
    <t>(325±15)</t>
  </si>
  <si>
    <t>(450±10)</t>
  </si>
  <si>
    <t>(8.9108.95)</t>
  </si>
  <si>
    <t>(7.107.3)</t>
  </si>
  <si>
    <t>1.87 (2+)</t>
  </si>
  <si>
    <t>N/A</t>
  </si>
  <si>
    <t>Physical State</t>
  </si>
  <si>
    <t>Row Labels</t>
  </si>
  <si>
    <t>(blank)</t>
  </si>
  <si>
    <t>Boiling point(K)</t>
  </si>
  <si>
    <t>Melting point(K)</t>
  </si>
  <si>
    <t xml:space="preserve"> Atomic weight(Da)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</si>
</sst>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16">
    <dxf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59189120373" createdVersion="8" refreshedVersion="8" minRefreshableVersion="3" recordCount="120" xr:uid="{D700995C-BF11-4E18-A0A0-DB1767FDC523}">
  <cacheSource type="worksheet">
    <worksheetSource ref="A1:P1048576" sheet="Table 0"/>
  </cacheSource>
  <cacheFields count="16">
    <cacheField name="Z" numFmtId="0">
      <sharedItems containsBlank="1"/>
    </cacheField>
    <cacheField name="Sym." numFmtId="0">
      <sharedItems containsBlank="1"/>
    </cacheField>
    <cacheField name="Element" numFmtId="0">
      <sharedItems containsBlank="1" count="119">
        <s v="Hydrogen"/>
        <s v="Helium"/>
        <s v="Lithium"/>
        <s v="Beryllium"/>
        <s v="Boron"/>
        <s v="Carbon"/>
        <s v="Nitrogen"/>
        <s v="Oxygen"/>
        <s v="Fluorine"/>
        <s v="Neon"/>
        <s v="Sodium"/>
        <s v="Magnesium"/>
        <s v="Aluminium"/>
        <s v="Silicon"/>
        <s v="Phosphorus"/>
        <s v="Sulfur"/>
        <s v="Chlorine"/>
        <s v="Argon"/>
        <s v="Potassium"/>
        <s v="Calcium"/>
        <s v="Scandium"/>
        <s v="Titanium"/>
        <s v="Vanadium"/>
        <s v="Chromium"/>
        <s v="Manganese"/>
        <s v="Iron"/>
        <s v="Cobalt"/>
        <s v="Nickel"/>
        <s v="Copper"/>
        <s v="Zinc"/>
        <s v="Gallium"/>
        <s v="Germanium"/>
        <s v="Arsenic"/>
        <s v="Selenium"/>
        <s v="Bromine"/>
        <s v="Krypton"/>
        <s v="Rubidium"/>
        <s v="Strontium"/>
        <s v="Yttrium"/>
        <s v="Zirconium"/>
        <s v="Niobium"/>
        <s v="Molybdenum"/>
        <s v="Technetium"/>
        <s v="Ruthenium"/>
        <s v="Rhodium"/>
        <s v="Palladium"/>
        <s v="Silver"/>
        <s v="Cadmium"/>
        <s v="Indium"/>
        <s v="Tin"/>
        <s v="Antimony"/>
        <s v="Tellurium"/>
        <s v="Iodine"/>
        <s v="Xenon"/>
        <s v="Caesium"/>
        <s v="Barium"/>
        <s v="Lanthanum"/>
        <s v="Cerium"/>
        <s v="Praseodymium"/>
        <s v="Neodymium"/>
        <s v="Promethium"/>
        <s v="Samarium"/>
        <s v="Europium"/>
        <s v="Gadolinium"/>
        <s v="Terbium"/>
        <s v="Dysprosium"/>
        <s v="Holmium"/>
        <s v="Erbium"/>
        <s v="Thulium"/>
        <s v="Ytterbium"/>
        <s v="Lutetium"/>
        <s v="Hafnium"/>
        <s v="Tantalum"/>
        <s v="Tungsten"/>
        <s v="Rhenium"/>
        <s v="Osmium"/>
        <s v="Iridium"/>
        <s v="Platinum"/>
        <s v="Gold"/>
        <s v="Mercury"/>
        <s v="Thallium"/>
        <s v="Lead"/>
        <s v="Bismuth"/>
        <s v="Polonium"/>
        <s v="Astatine"/>
        <s v="Radon"/>
        <s v="Francium"/>
        <s v="Radium"/>
        <s v="Actinium"/>
        <s v="Thorium"/>
        <s v="Protactinium"/>
        <s v="Uranium"/>
        <s v="Neptunium"/>
        <s v="Plutonium"/>
        <s v="Americium"/>
        <s v="Curium"/>
        <s v="Berkelium"/>
        <s v="Californium"/>
        <s v="Einsteinium"/>
        <s v="Fermium"/>
        <s v="Mendelevium"/>
        <s v="Nobelium"/>
        <s v="Lawrencium"/>
        <s v="Rutherfordium"/>
        <s v="Dubnium"/>
        <s v="Seaborgium"/>
        <s v="Bohrium"/>
        <s v="Hassium"/>
        <s v="Meitnerium"/>
        <s v="Darmstadtium"/>
        <s v="Roentgenium"/>
        <s v="Copernicium"/>
        <s v="Nihonium"/>
        <s v="Flerovium"/>
        <s v="Moscovium"/>
        <s v="Livermorium"/>
        <s v="Tennessine"/>
        <s v="Oganesson"/>
        <m/>
      </sharedItems>
    </cacheField>
    <cacheField name="Group" numFmtId="0">
      <sharedItems containsBlank="1" count="20">
        <s v="1"/>
        <s v="18"/>
        <s v="2"/>
        <s v="13"/>
        <s v="14"/>
        <s v="15"/>
        <s v="16"/>
        <s v="17"/>
        <s v="3"/>
        <s v="4"/>
        <s v="5"/>
        <s v="6"/>
        <s v="7"/>
        <s v="8"/>
        <s v="9"/>
        <s v="10"/>
        <s v="11"/>
        <s v="12"/>
        <s v="f-block groups"/>
        <m/>
      </sharedItems>
    </cacheField>
    <cacheField name="Period" numFmtId="0">
      <sharedItems containsBlank="1" count="8">
        <s v="1"/>
        <s v="2"/>
        <s v="3"/>
        <s v="4"/>
        <s v="5"/>
        <s v="6"/>
        <s v="7"/>
        <m/>
      </sharedItems>
    </cacheField>
    <cacheField name="Block" numFmtId="0">
      <sharedItems containsBlank="1"/>
    </cacheField>
    <cacheField name="Atomic weight [a] (Da)" numFmtId="165">
      <sharedItems containsBlank="1" containsMixedTypes="1" containsNumber="1" minValue="0" maxValue="238.03"/>
    </cacheField>
    <cacheField name="Density [b][c] (⁠g/cm3⁠)" numFmtId="165">
      <sharedItems containsBlank="1" containsMixedTypes="1" containsNumber="1" minValue="-27029" maxValue="8988"/>
    </cacheField>
    <cacheField name="Melting point[d] (K)" numFmtId="165">
      <sharedItems containsBlank="1" containsMixedTypes="1" containsNumber="1" minValue="-2400" maxValue="3695"/>
    </cacheField>
    <cacheField name="Boiling point[e] (K)" numFmtId="165">
      <sharedItems containsBlank="1" containsMixedTypes="1" containsNumber="1" minValue="-5800" maxValue="6203"/>
    </cacheField>
    <cacheField name="Physical State" numFmtId="165">
      <sharedItems containsBlank="1"/>
    </cacheField>
    <cacheField name="Specific heat capacity[f] (⁠J/g · K⁠)" numFmtId="165">
      <sharedItems containsString="0" containsBlank="1" containsNumber="1" minValue="0" maxValue="14.304"/>
    </cacheField>
    <cacheField name="Electro­negativity [g]" numFmtId="165">
      <sharedItems containsBlank="1" containsMixedTypes="1" containsNumber="1" minValue="0" maxValue="3.98"/>
    </cacheField>
    <cacheField name="Abundance in Earth's crust[h] (⁠mg/kg⁠)" numFmtId="165">
      <sharedItems containsBlank="1" containsMixedTypes="1" containsNumber="1" minValue="0" maxValue="461000"/>
    </cacheField>
    <cacheField name="Origin[i]" numFmtId="0">
      <sharedItems containsBlank="1"/>
    </cacheField>
    <cacheField name="Phase[j]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1"/>
    <s v="H"/>
    <x v="0"/>
    <x v="0"/>
    <x v="0"/>
    <s v="s-block"/>
    <n v="1.008"/>
    <n v="8988"/>
    <n v="14.01"/>
    <n v="20.28"/>
    <s v="Gas"/>
    <n v="14.304"/>
    <n v="2.2000000000000002"/>
    <n v="1400"/>
    <s v="primordial"/>
    <s v="gas"/>
  </r>
  <r>
    <s v="2"/>
    <s v="He"/>
    <x v="1"/>
    <x v="1"/>
    <x v="0"/>
    <s v="s-block"/>
    <n v="4.0026000000000002"/>
    <n v="1.785E-4"/>
    <n v="0"/>
    <n v="4.22"/>
    <s v="Gas"/>
    <n v="5.1929999999999996"/>
    <n v="0"/>
    <n v="8.0000000000000002E-3"/>
    <s v="primordial"/>
    <s v="gas"/>
  </r>
  <r>
    <s v="3"/>
    <s v="Li"/>
    <x v="2"/>
    <x v="0"/>
    <x v="1"/>
    <s v="s-block"/>
    <n v="6.94"/>
    <n v="0.53400000000000003"/>
    <n v="453.69"/>
    <n v="1560"/>
    <s v="Solid"/>
    <n v="3.5819999999999999"/>
    <n v="0.98"/>
    <n v="20"/>
    <s v="primordial"/>
    <s v="solid"/>
  </r>
  <r>
    <s v="4"/>
    <s v="Be"/>
    <x v="3"/>
    <x v="2"/>
    <x v="1"/>
    <s v="s-block"/>
    <n v="9.0122"/>
    <n v="1.85"/>
    <n v="1560"/>
    <n v="2742"/>
    <s v="Solid"/>
    <n v="1.825"/>
    <n v="1.57"/>
    <n v="2.8"/>
    <s v="primordial"/>
    <s v="solid"/>
  </r>
  <r>
    <s v="5"/>
    <s v="B"/>
    <x v="4"/>
    <x v="3"/>
    <x v="1"/>
    <s v="p-block"/>
    <n v="10.81"/>
    <n v="2.34"/>
    <n v="2349"/>
    <n v="4200"/>
    <s v="Solid"/>
    <n v="1.026"/>
    <n v="2.04"/>
    <n v="10"/>
    <s v="primordial"/>
    <s v="solid"/>
  </r>
  <r>
    <s v="6"/>
    <s v="C"/>
    <x v="5"/>
    <x v="4"/>
    <x v="1"/>
    <s v="p-block"/>
    <n v="12.010999999999999"/>
    <n v="2.2669999999999999"/>
    <s v="&gt;4000"/>
    <n v="4300"/>
    <s v="Solid"/>
    <n v="0.70899999999999996"/>
    <n v="2.5499999999999998"/>
    <n v="200"/>
    <s v="primordial"/>
    <s v="solid"/>
  </r>
  <r>
    <s v="7"/>
    <s v="N"/>
    <x v="6"/>
    <x v="5"/>
    <x v="1"/>
    <s v="p-block"/>
    <n v="14.007"/>
    <n v="1.2505999999999999E-3"/>
    <n v="63.15"/>
    <n v="77.36"/>
    <s v="Gas"/>
    <n v="1.04"/>
    <n v="3.04"/>
    <n v="19"/>
    <s v="primordial"/>
    <s v="gas"/>
  </r>
  <r>
    <s v="8"/>
    <s v="O"/>
    <x v="7"/>
    <x v="6"/>
    <x v="1"/>
    <s v="p-block"/>
    <n v="15.999000000000001"/>
    <n v="1.4289999999999999E-3"/>
    <n v="54.36"/>
    <n v="90.2"/>
    <s v="Gas"/>
    <n v="0.91800000000000004"/>
    <n v="3.44"/>
    <n v="461000"/>
    <s v="primordial"/>
    <s v="gas"/>
  </r>
  <r>
    <s v="9"/>
    <s v="F"/>
    <x v="8"/>
    <x v="7"/>
    <x v="1"/>
    <s v="p-block"/>
    <n v="18.998000000000001"/>
    <n v="1.696E-3"/>
    <n v="53.53"/>
    <n v="85.03"/>
    <s v="Gas"/>
    <n v="0.82399999999999995"/>
    <n v="3.98"/>
    <n v="585"/>
    <s v="primordial"/>
    <s v="gas"/>
  </r>
  <r>
    <s v="10"/>
    <s v="Ne"/>
    <x v="9"/>
    <x v="1"/>
    <x v="1"/>
    <s v="p-block"/>
    <n v="20.18"/>
    <n v="9.0019999999999998E-4"/>
    <n v="24.56"/>
    <n v="27.07"/>
    <s v="Gas"/>
    <n v="1.03"/>
    <n v="0"/>
    <n v="5.0000000000000001E-3"/>
    <s v="primordial"/>
    <s v="gas"/>
  </r>
  <r>
    <s v="11"/>
    <s v="Na"/>
    <x v="10"/>
    <x v="0"/>
    <x v="2"/>
    <s v="s-block"/>
    <n v="22.99"/>
    <n v="0.96799999999999997"/>
    <n v="370.87"/>
    <n v="1156"/>
    <s v="Solid"/>
    <n v="1.228"/>
    <n v="0.93"/>
    <n v="23600"/>
    <s v="primordial"/>
    <s v="solid"/>
  </r>
  <r>
    <s v="12"/>
    <s v="Mg"/>
    <x v="11"/>
    <x v="2"/>
    <x v="2"/>
    <s v="s-block"/>
    <n v="24.305"/>
    <n v="1.738"/>
    <n v="923"/>
    <n v="1363"/>
    <s v="Solid"/>
    <n v="1.0229999999999999"/>
    <n v="1.31"/>
    <n v="23300"/>
    <s v="primordial"/>
    <s v="solid"/>
  </r>
  <r>
    <s v="13"/>
    <s v="Al"/>
    <x v="12"/>
    <x v="3"/>
    <x v="2"/>
    <s v="p-block"/>
    <n v="26.981999999999999"/>
    <n v="2.7"/>
    <n v="933.47"/>
    <n v="2792"/>
    <s v="Solid"/>
    <n v="0.89700000000000002"/>
    <n v="1.61"/>
    <n v="82300"/>
    <s v="primordial"/>
    <s v="solid"/>
  </r>
  <r>
    <s v="14"/>
    <s v="Si"/>
    <x v="13"/>
    <x v="4"/>
    <x v="2"/>
    <s v="p-block"/>
    <n v="28.085000000000001"/>
    <n v="2.3290000000000002"/>
    <n v="1687"/>
    <n v="3538"/>
    <s v="Solid"/>
    <n v="0.70499999999999996"/>
    <n v="1.9"/>
    <n v="282000"/>
    <s v="primordial"/>
    <s v="solid"/>
  </r>
  <r>
    <s v="15"/>
    <s v="P"/>
    <x v="14"/>
    <x v="5"/>
    <x v="2"/>
    <s v="p-block"/>
    <n v="30.974"/>
    <n v="1.823"/>
    <n v="317.3"/>
    <n v="550"/>
    <s v="Solid"/>
    <n v="0.76900000000000002"/>
    <n v="2.19"/>
    <n v="1050"/>
    <s v="primordial"/>
    <s v="solid"/>
  </r>
  <r>
    <s v="16"/>
    <s v="S"/>
    <x v="15"/>
    <x v="6"/>
    <x v="2"/>
    <s v="p-block"/>
    <n v="32.06"/>
    <n v="2.0699999999999998"/>
    <n v="388.36"/>
    <n v="717.87"/>
    <s v="Solid"/>
    <n v="0.71"/>
    <n v="2.58"/>
    <n v="350"/>
    <s v="primordial"/>
    <s v="solid"/>
  </r>
  <r>
    <s v="17"/>
    <s v="Cl"/>
    <x v="16"/>
    <x v="7"/>
    <x v="2"/>
    <s v="p-block"/>
    <n v="35.450000000000003"/>
    <n v="3.2000000000000002E-3"/>
    <n v="171.6"/>
    <n v="239.11"/>
    <s v="Gas"/>
    <n v="0.47899999999999998"/>
    <n v="3.16"/>
    <n v="145"/>
    <s v="primordial"/>
    <s v="gas"/>
  </r>
  <r>
    <s v="18"/>
    <s v="Ar"/>
    <x v="17"/>
    <x v="1"/>
    <x v="2"/>
    <s v="p-block"/>
    <n v="39.950000000000003"/>
    <n v="1.784E-3"/>
    <n v="83.8"/>
    <n v="87.3"/>
    <s v="Gas"/>
    <n v="0.52"/>
    <n v="0"/>
    <n v="3.5"/>
    <s v="primordial"/>
    <s v="gas"/>
  </r>
  <r>
    <s v="19"/>
    <s v="K"/>
    <x v="18"/>
    <x v="0"/>
    <x v="3"/>
    <s v="s-block"/>
    <n v="39.097999999999999"/>
    <n v="0.89"/>
    <n v="336.53"/>
    <n v="1032"/>
    <s v="Solid"/>
    <n v="0.75700000000000001"/>
    <n v="0.82"/>
    <n v="20900"/>
    <s v="primordial"/>
    <s v="solid"/>
  </r>
  <r>
    <s v="20"/>
    <s v="Ca"/>
    <x v="19"/>
    <x v="2"/>
    <x v="3"/>
    <s v="s-block"/>
    <n v="40.078000000000003"/>
    <n v="1.55"/>
    <n v="1115"/>
    <n v="1757"/>
    <s v="Solid"/>
    <n v="0.64700000000000002"/>
    <n v="1"/>
    <n v="41500"/>
    <s v="primordial"/>
    <s v="solid"/>
  </r>
  <r>
    <s v="21"/>
    <s v="Sc"/>
    <x v="20"/>
    <x v="8"/>
    <x v="3"/>
    <s v="d-block"/>
    <n v="44.956000000000003"/>
    <n v="2.9849999999999999"/>
    <n v="1814"/>
    <n v="3109"/>
    <s v="Solid"/>
    <n v="0.56799999999999995"/>
    <n v="1.36"/>
    <n v="22"/>
    <s v="primordial"/>
    <s v="solid"/>
  </r>
  <r>
    <s v="22"/>
    <s v="Ti"/>
    <x v="21"/>
    <x v="9"/>
    <x v="3"/>
    <s v="d-block"/>
    <n v="47.866999999999997"/>
    <n v="4.5060000000000002"/>
    <n v="1941"/>
    <n v="3560"/>
    <s v="Solid"/>
    <n v="0.52300000000000002"/>
    <n v="1.54"/>
    <n v="5650"/>
    <s v="primordial"/>
    <s v="solid"/>
  </r>
  <r>
    <s v="23"/>
    <s v="V"/>
    <x v="22"/>
    <x v="10"/>
    <x v="3"/>
    <s v="d-block"/>
    <n v="50.942"/>
    <n v="6.11"/>
    <n v="2183"/>
    <n v="3680"/>
    <s v="Solid"/>
    <n v="0.48899999999999999"/>
    <n v="1.63"/>
    <n v="120"/>
    <s v="primordial"/>
    <s v="solid"/>
  </r>
  <r>
    <s v="24"/>
    <s v="Cr"/>
    <x v="23"/>
    <x v="11"/>
    <x v="3"/>
    <s v="d-block"/>
    <n v="51.996000000000002"/>
    <n v="7.15"/>
    <n v="2180"/>
    <n v="2944"/>
    <s v="Solid"/>
    <n v="0.44900000000000001"/>
    <n v="1.66"/>
    <n v="102"/>
    <s v="primordial"/>
    <s v="solid"/>
  </r>
  <r>
    <s v="25"/>
    <s v="Mn"/>
    <x v="24"/>
    <x v="12"/>
    <x v="3"/>
    <s v="d-block"/>
    <n v="54.938000000000002"/>
    <n v="7.21"/>
    <n v="1519"/>
    <n v="2334"/>
    <s v="Solid"/>
    <n v="0.47899999999999998"/>
    <n v="1.55"/>
    <n v="950"/>
    <s v="primordial"/>
    <s v="solid"/>
  </r>
  <r>
    <s v="26"/>
    <s v="Fe"/>
    <x v="25"/>
    <x v="13"/>
    <x v="3"/>
    <s v="d-block"/>
    <n v="55.844999999999999"/>
    <n v="7.8739999999999997"/>
    <n v="1811"/>
    <n v="3134"/>
    <s v="Solid"/>
    <n v="0.44900000000000001"/>
    <n v="1.83"/>
    <n v="56300"/>
    <s v="primordial"/>
    <s v="solid"/>
  </r>
  <r>
    <s v="27"/>
    <s v="Co"/>
    <x v="26"/>
    <x v="14"/>
    <x v="3"/>
    <s v="d-block"/>
    <n v="58.933"/>
    <n v="8.9"/>
    <n v="1768"/>
    <n v="3200"/>
    <s v="Solid"/>
    <n v="0.42099999999999999"/>
    <n v="1.88"/>
    <n v="25"/>
    <s v="primordial"/>
    <s v="solid"/>
  </r>
  <r>
    <s v="28"/>
    <s v="Ni"/>
    <x v="27"/>
    <x v="15"/>
    <x v="3"/>
    <s v="d-block"/>
    <n v="58.692999999999998"/>
    <n v="8.9079999999999995"/>
    <n v="1728"/>
    <n v="3186"/>
    <s v="Solid"/>
    <n v="0.44400000000000001"/>
    <n v="1.91"/>
    <n v="84"/>
    <s v="primordial"/>
    <s v="solid"/>
  </r>
  <r>
    <s v="29"/>
    <s v="Cu"/>
    <x v="28"/>
    <x v="16"/>
    <x v="3"/>
    <s v="d-block"/>
    <n v="63.545999999999999"/>
    <n v="8.9600000000000009"/>
    <n v="1357.77"/>
    <n v="2835"/>
    <s v="Solid"/>
    <n v="0.38500000000000001"/>
    <n v="1.9"/>
    <n v="60"/>
    <s v="primordial"/>
    <s v="solid"/>
  </r>
  <r>
    <s v="30"/>
    <s v="Zn"/>
    <x v="29"/>
    <x v="17"/>
    <x v="3"/>
    <s v="d-block"/>
    <n v="65.38"/>
    <n v="7.14"/>
    <n v="692.88"/>
    <n v="1180"/>
    <s v="Solid"/>
    <n v="0.38800000000000001"/>
    <n v="1.65"/>
    <n v="70"/>
    <s v="primordial"/>
    <s v="solid"/>
  </r>
  <r>
    <s v="31"/>
    <s v="Ga"/>
    <x v="30"/>
    <x v="3"/>
    <x v="3"/>
    <s v="p-block"/>
    <n v="69.722999999999999"/>
    <n v="5.91"/>
    <n v="302.91460000000001"/>
    <n v="2673"/>
    <s v="Solid"/>
    <n v="0.371"/>
    <n v="1.81"/>
    <n v="19"/>
    <s v="primordial"/>
    <s v="solid"/>
  </r>
  <r>
    <s v="32"/>
    <s v="Ge"/>
    <x v="31"/>
    <x v="4"/>
    <x v="3"/>
    <s v="p-block"/>
    <n v="72.63"/>
    <n v="5.3230000000000004"/>
    <n v="1211.4000000000001"/>
    <n v="3106"/>
    <s v="Solid"/>
    <n v="0.32"/>
    <n v="2.0099999999999998"/>
    <n v="1.5"/>
    <s v="primordial"/>
    <s v="solid"/>
  </r>
  <r>
    <s v="33"/>
    <s v="As"/>
    <x v="32"/>
    <x v="5"/>
    <x v="3"/>
    <s v="p-block"/>
    <n v="74.921999999999997"/>
    <n v="5.7270000000000003"/>
    <n v="1090"/>
    <n v="887"/>
    <s v="Solid"/>
    <n v="0.32900000000000001"/>
    <n v="2.1800000000000002"/>
    <n v="1.8"/>
    <s v="primordial"/>
    <s v="solid"/>
  </r>
  <r>
    <s v="34"/>
    <s v="Se"/>
    <x v="33"/>
    <x v="6"/>
    <x v="3"/>
    <s v="p-block"/>
    <n v="78.971000000000004"/>
    <n v="4.8099999999999996"/>
    <n v="453"/>
    <n v="958"/>
    <s v="Solid"/>
    <n v="0.32100000000000001"/>
    <n v="2.5499999999999998"/>
    <n v="0.05"/>
    <s v="primordial"/>
    <s v="solid"/>
  </r>
  <r>
    <s v="35"/>
    <s v="Br"/>
    <x v="34"/>
    <x v="7"/>
    <x v="3"/>
    <s v="p-block"/>
    <n v="79.903999999999996"/>
    <n v="3.1027999999999998"/>
    <n v="265.8"/>
    <n v="332"/>
    <s v="Liquid"/>
    <n v="0.47399999999999998"/>
    <n v="2.96"/>
    <n v="2.4"/>
    <s v="primordial"/>
    <s v="liquid"/>
  </r>
  <r>
    <s v="36"/>
    <s v="Kr"/>
    <x v="35"/>
    <x v="1"/>
    <x v="3"/>
    <s v="p-block"/>
    <n v="83.798000000000002"/>
    <n v="3.7490000000000002E-3"/>
    <n v="115.79"/>
    <n v="119.93"/>
    <s v="Gas"/>
    <n v="0.248"/>
    <n v="3"/>
    <s v="1×10−4"/>
    <s v="primordial"/>
    <s v="gas"/>
  </r>
  <r>
    <s v="37"/>
    <s v="Rb"/>
    <x v="36"/>
    <x v="0"/>
    <x v="4"/>
    <s v="s-block"/>
    <n v="85.468000000000004"/>
    <n v="1.532"/>
    <n v="312.45999999999998"/>
    <n v="961"/>
    <s v="Solid"/>
    <n v="0.36299999999999999"/>
    <n v="0.82"/>
    <n v="90"/>
    <s v="primordial"/>
    <s v="solid"/>
  </r>
  <r>
    <s v="38"/>
    <s v="Sr"/>
    <x v="37"/>
    <x v="2"/>
    <x v="4"/>
    <s v="s-block"/>
    <n v="87.62"/>
    <n v="2.64"/>
    <n v="1050"/>
    <n v="1655"/>
    <s v="Solid"/>
    <n v="0.30099999999999999"/>
    <n v="0.95"/>
    <n v="370"/>
    <s v="primordial"/>
    <s v="solid"/>
  </r>
  <r>
    <s v="39"/>
    <s v="Y"/>
    <x v="38"/>
    <x v="8"/>
    <x v="4"/>
    <s v="d-block"/>
    <n v="88.906000000000006"/>
    <n v="4.4720000000000004"/>
    <n v="1799"/>
    <n v="3609"/>
    <s v="Solid"/>
    <n v="0.29799999999999999"/>
    <n v="1.22"/>
    <n v="33"/>
    <s v="primordial"/>
    <s v="solid"/>
  </r>
  <r>
    <s v="40"/>
    <s v="Zr"/>
    <x v="39"/>
    <x v="9"/>
    <x v="4"/>
    <s v="d-block"/>
    <n v="91.224000000000004"/>
    <n v="6.52"/>
    <n v="2128"/>
    <n v="4682"/>
    <s v="Solid"/>
    <n v="0.27800000000000002"/>
    <n v="1.33"/>
    <n v="165"/>
    <s v="primordial"/>
    <s v="solid"/>
  </r>
  <r>
    <s v="41"/>
    <s v="Nb"/>
    <x v="40"/>
    <x v="10"/>
    <x v="4"/>
    <s v="d-block"/>
    <n v="92.906000000000006"/>
    <n v="8.57"/>
    <n v="2750"/>
    <n v="5017"/>
    <s v="Solid"/>
    <n v="0.26500000000000001"/>
    <n v="1.6"/>
    <n v="20"/>
    <s v="primordial"/>
    <s v="solid"/>
  </r>
  <r>
    <s v="42"/>
    <s v="Mo"/>
    <x v="41"/>
    <x v="11"/>
    <x v="4"/>
    <s v="d-block"/>
    <n v="95.95"/>
    <n v="10.28"/>
    <n v="2896"/>
    <n v="4912"/>
    <s v="Solid"/>
    <n v="0.251"/>
    <n v="2.16"/>
    <n v="1.2"/>
    <s v="primordial"/>
    <s v="solid"/>
  </r>
  <r>
    <s v="43"/>
    <s v="Tc"/>
    <x v="42"/>
    <x v="12"/>
    <x v="4"/>
    <s v="d-block"/>
    <n v="0"/>
    <n v="11"/>
    <n v="2430"/>
    <n v="4538"/>
    <s v="Solid"/>
    <n v="0"/>
    <n v="1.9"/>
    <s v="~ 3×10−9"/>
    <s v="from decay"/>
    <s v="solid"/>
  </r>
  <r>
    <s v="44"/>
    <s v="Ru"/>
    <x v="43"/>
    <x v="13"/>
    <x v="4"/>
    <s v="d-block"/>
    <n v="101.07"/>
    <n v="12.45"/>
    <n v="2607"/>
    <n v="4423"/>
    <s v="Solid"/>
    <n v="0.23799999999999999"/>
    <n v="2.2000000000000002"/>
    <n v="1E-3"/>
    <s v="primordial"/>
    <s v="solid"/>
  </r>
  <r>
    <s v="45"/>
    <s v="Rh"/>
    <x v="44"/>
    <x v="14"/>
    <x v="4"/>
    <s v="d-block"/>
    <n v="102.91"/>
    <n v="12.41"/>
    <n v="2237"/>
    <n v="3968"/>
    <s v="Solid"/>
    <n v="0.24299999999999999"/>
    <n v="2.2799999999999998"/>
    <n v="1E-3"/>
    <s v="primordial"/>
    <s v="solid"/>
  </r>
  <r>
    <s v="46"/>
    <s v="Pd"/>
    <x v="45"/>
    <x v="15"/>
    <x v="4"/>
    <s v="d-block"/>
    <n v="106.42"/>
    <n v="12.023"/>
    <n v="1828.05"/>
    <n v="3236"/>
    <s v="Solid"/>
    <n v="0.24399999999999999"/>
    <n v="2.2000000000000002"/>
    <n v="1.4999999999999999E-2"/>
    <s v="primordial"/>
    <s v="solid"/>
  </r>
  <r>
    <s v="47"/>
    <s v="Ag"/>
    <x v="46"/>
    <x v="16"/>
    <x v="4"/>
    <s v="d-block"/>
    <n v="107.87"/>
    <n v="10.49"/>
    <n v="1234.93"/>
    <n v="2435"/>
    <s v="Solid"/>
    <n v="0.23499999999999999"/>
    <n v="1.93"/>
    <n v="7.4999999999999997E-2"/>
    <s v="primordial"/>
    <s v="solid"/>
  </r>
  <r>
    <s v="48"/>
    <s v="Cd"/>
    <x v="47"/>
    <x v="17"/>
    <x v="4"/>
    <s v="d-block"/>
    <n v="112.41"/>
    <n v="8.65"/>
    <n v="594.22"/>
    <n v="1040"/>
    <s v="Solid"/>
    <n v="0.23200000000000001"/>
    <n v="1.69"/>
    <n v="0.159"/>
    <s v="primordial"/>
    <s v="solid"/>
  </r>
  <r>
    <s v="49"/>
    <s v="In"/>
    <x v="48"/>
    <x v="3"/>
    <x v="4"/>
    <s v="p-block"/>
    <n v="114.82"/>
    <n v="7.31"/>
    <n v="429.75"/>
    <n v="2345"/>
    <s v="Solid"/>
    <n v="0.23300000000000001"/>
    <n v="1.78"/>
    <n v="0.25"/>
    <s v="primordial"/>
    <s v="solid"/>
  </r>
  <r>
    <s v="50"/>
    <s v="Sn"/>
    <x v="49"/>
    <x v="4"/>
    <x v="4"/>
    <s v="p-block"/>
    <n v="118.71"/>
    <n v="7.2649999999999997"/>
    <n v="505.08"/>
    <n v="2875"/>
    <s v="Solid"/>
    <n v="0.22800000000000001"/>
    <n v="1.96"/>
    <n v="2.2999999999999998"/>
    <s v="primordial"/>
    <s v="solid"/>
  </r>
  <r>
    <s v="51"/>
    <s v="Sb"/>
    <x v="50"/>
    <x v="5"/>
    <x v="4"/>
    <s v="p-block"/>
    <n v="121.76"/>
    <n v="6.6970000000000001"/>
    <n v="903.78"/>
    <n v="1860"/>
    <s v="Solid"/>
    <n v="0.20699999999999999"/>
    <n v="2.0499999999999998"/>
    <n v="0.2"/>
    <s v="primordial"/>
    <s v="solid"/>
  </r>
  <r>
    <s v="52"/>
    <s v="Te"/>
    <x v="51"/>
    <x v="6"/>
    <x v="4"/>
    <s v="p-block"/>
    <n v="127.6"/>
    <n v="6.24"/>
    <n v="722.66"/>
    <n v="1261"/>
    <s v="Solid"/>
    <n v="0.20200000000000001"/>
    <n v="2.1"/>
    <n v="1E-3"/>
    <s v="primordial"/>
    <s v="solid"/>
  </r>
  <r>
    <s v="53"/>
    <s v="I"/>
    <x v="52"/>
    <x v="7"/>
    <x v="4"/>
    <s v="p-block"/>
    <n v="126.9"/>
    <n v="4.9329999999999998"/>
    <n v="386.85"/>
    <n v="457.4"/>
    <s v="Solid"/>
    <n v="0.214"/>
    <n v="2.66"/>
    <n v="0.45"/>
    <s v="primordial"/>
    <s v="solid"/>
  </r>
  <r>
    <s v="54"/>
    <s v="Xe"/>
    <x v="53"/>
    <x v="1"/>
    <x v="4"/>
    <s v="p-block"/>
    <n v="131.29"/>
    <n v="5.8939999999999999E-3"/>
    <n v="161.4"/>
    <n v="165.03"/>
    <s v="Gas"/>
    <n v="0.158"/>
    <n v="2.6"/>
    <s v="3×10−5"/>
    <s v="primordial"/>
    <s v="gas"/>
  </r>
  <r>
    <s v="55"/>
    <s v="Cs"/>
    <x v="54"/>
    <x v="0"/>
    <x v="5"/>
    <s v="s-block"/>
    <n v="132.91"/>
    <n v="1.93"/>
    <n v="301.58999999999997"/>
    <n v="944"/>
    <s v="Solid"/>
    <n v="0.24199999999999999"/>
    <n v="0.79"/>
    <n v="3"/>
    <s v="primordial"/>
    <s v="solid"/>
  </r>
  <r>
    <s v="56"/>
    <s v="Ba"/>
    <x v="55"/>
    <x v="2"/>
    <x v="5"/>
    <s v="s-block"/>
    <n v="137.33000000000001"/>
    <n v="3.51"/>
    <n v="1000"/>
    <n v="2170"/>
    <s v="Solid"/>
    <n v="0.20399999999999999"/>
    <n v="0.89"/>
    <n v="425"/>
    <s v="primordial"/>
    <s v="solid"/>
  </r>
  <r>
    <s v="57"/>
    <s v="La"/>
    <x v="56"/>
    <x v="18"/>
    <x v="5"/>
    <s v="f-block"/>
    <n v="138.91"/>
    <n v="6.1619999999999999"/>
    <n v="1193"/>
    <n v="3737"/>
    <s v="Solid"/>
    <n v="0.19500000000000001"/>
    <n v="1.1000000000000001"/>
    <n v="39"/>
    <s v="primordial"/>
    <s v="solid"/>
  </r>
  <r>
    <s v="58"/>
    <s v="Ce"/>
    <x v="57"/>
    <x v="18"/>
    <x v="5"/>
    <s v="f-block"/>
    <n v="140.12"/>
    <n v="6.77"/>
    <n v="1068"/>
    <n v="3716"/>
    <s v="Solid"/>
    <n v="0.192"/>
    <n v="1.1200000000000001"/>
    <n v="66.5"/>
    <s v="primordial"/>
    <s v="solid"/>
  </r>
  <r>
    <s v="59"/>
    <s v="Pr"/>
    <x v="58"/>
    <x v="18"/>
    <x v="5"/>
    <s v="f-block"/>
    <n v="140.91"/>
    <n v="6.77"/>
    <n v="1208"/>
    <n v="3793"/>
    <s v="Solid"/>
    <n v="0.193"/>
    <n v="1.1299999999999999"/>
    <n v="9.1999999999999993"/>
    <s v="primordial"/>
    <s v="solid"/>
  </r>
  <r>
    <s v="60"/>
    <s v="Nd"/>
    <x v="59"/>
    <x v="18"/>
    <x v="5"/>
    <s v="f-block"/>
    <n v="144.24"/>
    <n v="7.01"/>
    <n v="1297"/>
    <n v="3347"/>
    <s v="Solid"/>
    <n v="0.19"/>
    <n v="1.1399999999999999"/>
    <n v="41.5"/>
    <s v="primordial"/>
    <s v="solid"/>
  </r>
  <r>
    <s v="61"/>
    <s v="Pm"/>
    <x v="60"/>
    <x v="18"/>
    <x v="5"/>
    <s v="f-block"/>
    <n v="0"/>
    <n v="7.26"/>
    <n v="1315"/>
    <n v="3273"/>
    <s v="Solid"/>
    <n v="0"/>
    <n v="1.1299999999999999"/>
    <s v="2×10−19"/>
    <s v="from decay"/>
    <s v="solid"/>
  </r>
  <r>
    <s v="62"/>
    <s v="Sm"/>
    <x v="61"/>
    <x v="18"/>
    <x v="5"/>
    <s v="f-block"/>
    <n v="150.36000000000001"/>
    <n v="7.52"/>
    <n v="1345"/>
    <n v="2067"/>
    <s v="Solid"/>
    <n v="0.19700000000000001"/>
    <n v="1.17"/>
    <n v="7.05"/>
    <s v="primordial"/>
    <s v="solid"/>
  </r>
  <r>
    <s v="63"/>
    <s v="Eu"/>
    <x v="62"/>
    <x v="18"/>
    <x v="5"/>
    <s v="f-block"/>
    <n v="151.96"/>
    <n v="5.2439999999999998"/>
    <n v="1099"/>
    <n v="1802"/>
    <s v="Solid"/>
    <n v="0.182"/>
    <n v="1.2"/>
    <n v="2"/>
    <s v="primordial"/>
    <s v="solid"/>
  </r>
  <r>
    <s v="64"/>
    <s v="Gd"/>
    <x v="63"/>
    <x v="18"/>
    <x v="5"/>
    <s v="f-block"/>
    <n v="157.25"/>
    <n v="7.9"/>
    <n v="1585"/>
    <n v="3546"/>
    <s v="Solid"/>
    <n v="0.23599999999999999"/>
    <n v="1.2"/>
    <n v="6.2"/>
    <s v="primordial"/>
    <s v="solid"/>
  </r>
  <r>
    <s v="65"/>
    <s v="Tb"/>
    <x v="64"/>
    <x v="18"/>
    <x v="5"/>
    <s v="f-block"/>
    <n v="158.93"/>
    <n v="8.23"/>
    <n v="1629"/>
    <n v="3503"/>
    <s v="Solid"/>
    <n v="0.182"/>
    <n v="1.2"/>
    <n v="1.2"/>
    <s v="primordial"/>
    <s v="solid"/>
  </r>
  <r>
    <s v="66"/>
    <s v="Dy"/>
    <x v="65"/>
    <x v="18"/>
    <x v="5"/>
    <s v="f-block"/>
    <n v="162.5"/>
    <n v="8.5399999999999991"/>
    <n v="1680"/>
    <n v="2840"/>
    <s v="Solid"/>
    <n v="0.17"/>
    <n v="1.22"/>
    <n v="5.2"/>
    <s v="primordial"/>
    <s v="solid"/>
  </r>
  <r>
    <s v="67"/>
    <s v="Ho"/>
    <x v="66"/>
    <x v="18"/>
    <x v="5"/>
    <s v="f-block"/>
    <n v="164.93"/>
    <n v="8.7899999999999991"/>
    <n v="1734"/>
    <n v="2993"/>
    <s v="Solid"/>
    <n v="0.16500000000000001"/>
    <n v="1.23"/>
    <n v="1.3"/>
    <s v="primordial"/>
    <s v="solid"/>
  </r>
  <r>
    <s v="68"/>
    <s v="Er"/>
    <x v="67"/>
    <x v="18"/>
    <x v="5"/>
    <s v="f-block"/>
    <n v="167.26"/>
    <n v="9.0660000000000007"/>
    <n v="1802"/>
    <n v="3141"/>
    <s v="Solid"/>
    <n v="0.16800000000000001"/>
    <n v="1.24"/>
    <n v="3.5"/>
    <s v="primordial"/>
    <s v="solid"/>
  </r>
  <r>
    <s v="69"/>
    <s v="Tm"/>
    <x v="68"/>
    <x v="18"/>
    <x v="5"/>
    <s v="f-block"/>
    <n v="168.93"/>
    <n v="9.32"/>
    <n v="1818"/>
    <n v="2223"/>
    <s v="Solid"/>
    <n v="0.16"/>
    <n v="1.25"/>
    <n v="0.52"/>
    <s v="primordial"/>
    <s v="solid"/>
  </r>
  <r>
    <s v="70"/>
    <s v="Yb"/>
    <x v="69"/>
    <x v="18"/>
    <x v="5"/>
    <s v="f-block"/>
    <n v="173.05"/>
    <n v="6.9"/>
    <n v="1097"/>
    <n v="1469"/>
    <s v="Solid"/>
    <n v="0.155"/>
    <n v="1.1000000000000001"/>
    <n v="3.2"/>
    <s v="primordial"/>
    <s v="solid"/>
  </r>
  <r>
    <s v="71"/>
    <s v="Lu"/>
    <x v="70"/>
    <x v="8"/>
    <x v="5"/>
    <s v="d-block"/>
    <n v="174.97"/>
    <n v="9.8409999999999993"/>
    <n v="1925"/>
    <n v="3675"/>
    <s v="Solid"/>
    <n v="0.154"/>
    <n v="1.27"/>
    <n v="0.8"/>
    <s v="primordial"/>
    <s v="solid"/>
  </r>
  <r>
    <s v="72"/>
    <s v="Hf"/>
    <x v="71"/>
    <x v="9"/>
    <x v="5"/>
    <s v="d-block"/>
    <n v="178.49"/>
    <n v="13.31"/>
    <n v="2506"/>
    <n v="4876"/>
    <s v="Solid"/>
    <n v="0.14399999999999999"/>
    <n v="1.3"/>
    <n v="3"/>
    <s v="primordial"/>
    <s v="solid"/>
  </r>
  <r>
    <s v="73"/>
    <s v="Ta"/>
    <x v="72"/>
    <x v="10"/>
    <x v="5"/>
    <s v="d-block"/>
    <n v="180.95"/>
    <n v="16.690000000000001"/>
    <n v="3290"/>
    <n v="5731"/>
    <s v="Solid"/>
    <n v="0.14000000000000001"/>
    <n v="1.5"/>
    <n v="2"/>
    <s v="primordial"/>
    <s v="solid"/>
  </r>
  <r>
    <s v="74"/>
    <s v="W"/>
    <x v="73"/>
    <x v="11"/>
    <x v="5"/>
    <s v="d-block"/>
    <n v="183.84"/>
    <n v="19.25"/>
    <n v="3695"/>
    <n v="6203"/>
    <s v="Solid"/>
    <n v="0.13200000000000001"/>
    <n v="2.36"/>
    <n v="1.3"/>
    <s v="primordial"/>
    <s v="solid"/>
  </r>
  <r>
    <s v="75"/>
    <s v="Re"/>
    <x v="74"/>
    <x v="12"/>
    <x v="5"/>
    <s v="d-block"/>
    <n v="186.21"/>
    <n v="21.02"/>
    <n v="3459"/>
    <n v="5869"/>
    <s v="Solid"/>
    <n v="0.13700000000000001"/>
    <n v="1.9"/>
    <s v="7×10−4"/>
    <s v="primordial"/>
    <s v="solid"/>
  </r>
  <r>
    <s v="76"/>
    <s v="Os"/>
    <x v="75"/>
    <x v="13"/>
    <x v="5"/>
    <s v="d-block"/>
    <n v="190.23"/>
    <n v="22.59"/>
    <n v="3306"/>
    <n v="5285"/>
    <s v="Solid"/>
    <n v="0.13"/>
    <n v="2.2000000000000002"/>
    <n v="2E-3"/>
    <s v="primordial"/>
    <s v="solid"/>
  </r>
  <r>
    <s v="77"/>
    <s v="Ir"/>
    <x v="76"/>
    <x v="14"/>
    <x v="5"/>
    <s v="d-block"/>
    <n v="192.22"/>
    <n v="22.56"/>
    <n v="2719"/>
    <n v="4701"/>
    <s v="Solid"/>
    <n v="0.13100000000000001"/>
    <n v="2.2000000000000002"/>
    <n v="1E-3"/>
    <s v="primordial"/>
    <s v="solid"/>
  </r>
  <r>
    <s v="78"/>
    <s v="Pt"/>
    <x v="77"/>
    <x v="15"/>
    <x v="5"/>
    <s v="d-block"/>
    <n v="195.08"/>
    <n v="21.45"/>
    <n v="2041.4"/>
    <n v="4098"/>
    <s v="Solid"/>
    <n v="0.13300000000000001"/>
    <n v="2.2799999999999998"/>
    <n v="5.0000000000000001E-3"/>
    <s v="primordial"/>
    <s v="solid"/>
  </r>
  <r>
    <s v="79"/>
    <s v="Au"/>
    <x v="78"/>
    <x v="16"/>
    <x v="5"/>
    <s v="d-block"/>
    <n v="196.97"/>
    <n v="19.3"/>
    <n v="1337.33"/>
    <n v="3129"/>
    <s v="Solid"/>
    <n v="0.129"/>
    <n v="2.54"/>
    <n v="4.0000000000000001E-3"/>
    <s v="primordial"/>
    <s v="solid"/>
  </r>
  <r>
    <s v="80"/>
    <s v="Hg"/>
    <x v="79"/>
    <x v="17"/>
    <x v="5"/>
    <s v="d-block"/>
    <n v="200.59"/>
    <n v="13.534000000000001"/>
    <n v="234.43"/>
    <n v="629.88"/>
    <s v="Liquid"/>
    <n v="0.14000000000000001"/>
    <n v="2"/>
    <n v="8.5000000000000006E-2"/>
    <s v="primordial"/>
    <s v="liquid"/>
  </r>
  <r>
    <s v="81"/>
    <s v="Tl"/>
    <x v="80"/>
    <x v="3"/>
    <x v="5"/>
    <s v="p-block"/>
    <n v="204.38"/>
    <n v="11.85"/>
    <n v="577"/>
    <n v="1746"/>
    <s v="Solid"/>
    <n v="0.129"/>
    <n v="1.62"/>
    <n v="0.85"/>
    <s v="primordial"/>
    <s v="solid"/>
  </r>
  <r>
    <s v="82"/>
    <s v="Pb"/>
    <x v="81"/>
    <x v="4"/>
    <x v="5"/>
    <s v="p-block"/>
    <n v="207.2"/>
    <n v="11.34"/>
    <n v="600.61"/>
    <n v="2022"/>
    <s v="Solid"/>
    <n v="0.129"/>
    <s v="1.87 (2+)"/>
    <n v="14"/>
    <s v="primordial"/>
    <s v="solid"/>
  </r>
  <r>
    <s v="83"/>
    <s v="Bi"/>
    <x v="82"/>
    <x v="5"/>
    <x v="5"/>
    <s v="p-block"/>
    <n v="208.98"/>
    <n v="9.7799999999999994"/>
    <n v="544.70000000000005"/>
    <n v="1837"/>
    <s v="Solid"/>
    <n v="0.122"/>
    <n v="2.02"/>
    <n v="8.9999999999999993E-3"/>
    <s v="primordial"/>
    <s v="solid"/>
  </r>
  <r>
    <s v="84"/>
    <s v="Po"/>
    <x v="83"/>
    <x v="6"/>
    <x v="5"/>
    <s v="p-block"/>
    <s v="N/A"/>
    <n v="9.1959999999999997"/>
    <n v="527"/>
    <n v="1235"/>
    <s v="Solid"/>
    <n v="0"/>
    <n v="2"/>
    <s v="2×10−10"/>
    <s v="from decay"/>
    <s v="solid"/>
  </r>
  <r>
    <s v="85"/>
    <s v="At"/>
    <x v="84"/>
    <x v="7"/>
    <x v="5"/>
    <s v="p-block"/>
    <s v="N/A"/>
    <s v="(8.9108.95)"/>
    <n v="575"/>
    <n v="610"/>
    <s v="Solid"/>
    <n v="0"/>
    <n v="2.2000000000000002"/>
    <s v="3×10−20"/>
    <s v="from decay"/>
    <s v="unknown phase"/>
  </r>
  <r>
    <s v="86"/>
    <s v="Rn"/>
    <x v="85"/>
    <x v="1"/>
    <x v="5"/>
    <s v="p-block"/>
    <s v="N/A"/>
    <n v="9.7300000000000008E-3"/>
    <n v="202"/>
    <n v="211.3"/>
    <s v="Gas"/>
    <n v="9.4E-2"/>
    <n v="2.2000000000000002"/>
    <s v="4×10−13"/>
    <s v="from decay"/>
    <s v="gas"/>
  </r>
  <r>
    <s v="87"/>
    <s v="Fr"/>
    <x v="86"/>
    <x v="0"/>
    <x v="6"/>
    <s v="s-block"/>
    <s v="N/A"/>
    <n v="-2.48"/>
    <n v="281"/>
    <n v="890"/>
    <s v="Liquid"/>
    <n v="0"/>
    <s v="&gt;0.79"/>
    <s v="~ 1×10−18"/>
    <s v="from decay"/>
    <s v="unknown phase"/>
  </r>
  <r>
    <s v="88"/>
    <s v="Ra"/>
    <x v="87"/>
    <x v="2"/>
    <x v="6"/>
    <s v="s-block"/>
    <s v="N/A"/>
    <n v="5.5"/>
    <n v="973"/>
    <n v="2010"/>
    <s v="Solid"/>
    <n v="9.4E-2"/>
    <n v="0.9"/>
    <s v="9×10−7"/>
    <s v="from decay"/>
    <s v="solid"/>
  </r>
  <r>
    <s v="89"/>
    <s v="Ac"/>
    <x v="88"/>
    <x v="18"/>
    <x v="6"/>
    <s v="f-block"/>
    <s v="N/A"/>
    <n v="10"/>
    <n v="1323"/>
    <n v="3471"/>
    <s v="Solid"/>
    <n v="0.12"/>
    <n v="1.1000000000000001"/>
    <s v="5.5×10−10"/>
    <s v="from decay"/>
    <s v="solid"/>
  </r>
  <r>
    <s v="90"/>
    <s v="Th"/>
    <x v="89"/>
    <x v="18"/>
    <x v="6"/>
    <s v="f-block"/>
    <n v="232.04"/>
    <n v="11.7"/>
    <n v="2115"/>
    <n v="5061"/>
    <s v="Solid"/>
    <n v="0.113"/>
    <n v="1.3"/>
    <n v="9.6"/>
    <s v="primordial"/>
    <s v="solid"/>
  </r>
  <r>
    <s v="91"/>
    <s v="Pa"/>
    <x v="90"/>
    <x v="18"/>
    <x v="6"/>
    <s v="f-block"/>
    <n v="231.04"/>
    <n v="15.37"/>
    <n v="1841"/>
    <n v="4300"/>
    <s v="Solid"/>
    <n v="0"/>
    <n v="1.5"/>
    <s v="1.4×10−6"/>
    <s v="from decay"/>
    <s v="solid"/>
  </r>
  <r>
    <s v="92"/>
    <s v="U"/>
    <x v="91"/>
    <x v="18"/>
    <x v="6"/>
    <s v="f-block"/>
    <n v="238.03"/>
    <n v="19.100000000000001"/>
    <n v="1405.3"/>
    <n v="4404"/>
    <s v="Solid"/>
    <n v="0.11600000000000001"/>
    <n v="1.38"/>
    <n v="2.7"/>
    <s v="primordial"/>
    <s v="solid"/>
  </r>
  <r>
    <s v="93"/>
    <s v="Np"/>
    <x v="92"/>
    <x v="18"/>
    <x v="6"/>
    <s v="f-block"/>
    <s v="N/A"/>
    <n v="20.45"/>
    <n v="917"/>
    <n v="4273"/>
    <s v="Solid"/>
    <n v="0"/>
    <n v="1.36"/>
    <s v="≤ 3×10−12"/>
    <s v="from decay"/>
    <s v="solid"/>
  </r>
  <r>
    <s v="94"/>
    <s v="Pu"/>
    <x v="93"/>
    <x v="18"/>
    <x v="6"/>
    <s v="f-block"/>
    <s v="N/A"/>
    <n v="19.850000000000001"/>
    <n v="912.5"/>
    <n v="3501"/>
    <s v="Solid"/>
    <n v="0"/>
    <n v="1.28"/>
    <s v="≤ 3×10−11"/>
    <s v="from decay"/>
    <s v="solid"/>
  </r>
  <r>
    <s v="95"/>
    <s v="Am"/>
    <x v="94"/>
    <x v="18"/>
    <x v="6"/>
    <s v="f-block"/>
    <s v="N/A"/>
    <n v="12"/>
    <n v="1449"/>
    <n v="2880"/>
    <s v="Solid"/>
    <n v="0"/>
    <n v="1.1299999999999999"/>
    <n v="0"/>
    <s v="synthetic"/>
    <s v="solid"/>
  </r>
  <r>
    <s v="96"/>
    <s v="Cm"/>
    <x v="95"/>
    <x v="18"/>
    <x v="6"/>
    <s v="f-block"/>
    <s v="N/A"/>
    <n v="13.51"/>
    <n v="1613"/>
    <n v="3383"/>
    <s v="Solid"/>
    <n v="0"/>
    <n v="1.28"/>
    <n v="0"/>
    <s v="synthetic"/>
    <s v="solid"/>
  </r>
  <r>
    <s v="97"/>
    <s v="Bk"/>
    <x v="96"/>
    <x v="18"/>
    <x v="6"/>
    <s v="f-block"/>
    <s v="N/A"/>
    <n v="14.78"/>
    <n v="1259"/>
    <n v="2900"/>
    <s v="Solid"/>
    <n v="0"/>
    <n v="1.3"/>
    <n v="0"/>
    <s v="synthetic"/>
    <s v="solid"/>
  </r>
  <r>
    <s v="98"/>
    <s v="Cf"/>
    <x v="97"/>
    <x v="18"/>
    <x v="6"/>
    <s v="f-block"/>
    <s v="N/A"/>
    <n v="15.1"/>
    <n v="1173"/>
    <n v="-1743"/>
    <s v="Solid"/>
    <n v="0"/>
    <n v="1.3"/>
    <n v="0"/>
    <s v="synthetic"/>
    <s v="solid"/>
  </r>
  <r>
    <s v="99"/>
    <s v="Es"/>
    <x v="98"/>
    <x v="18"/>
    <x v="6"/>
    <s v="f-block"/>
    <s v="N/A"/>
    <n v="8.84"/>
    <n v="1133"/>
    <n v="-1269"/>
    <s v="Solid"/>
    <n v="0"/>
    <n v="1.3"/>
    <n v="0"/>
    <s v="synthetic"/>
    <s v="solid"/>
  </r>
  <r>
    <s v="100"/>
    <s v="Fm"/>
    <x v="99"/>
    <x v="18"/>
    <x v="6"/>
    <s v="f-block"/>
    <s v="N/A"/>
    <n v="-9.6999999999999993"/>
    <n v="-1125"/>
    <n v="0"/>
    <s v="Gas"/>
    <n v="0"/>
    <n v="1.3"/>
    <n v="0"/>
    <s v="synthetic"/>
    <s v="unknown phase"/>
  </r>
  <r>
    <s v="101"/>
    <s v="Md"/>
    <x v="100"/>
    <x v="18"/>
    <x v="6"/>
    <s v="f-block"/>
    <s v="N/A"/>
    <n v="-10.3"/>
    <n v="-1100"/>
    <n v="0"/>
    <s v="Gas"/>
    <n v="0"/>
    <n v="1.3"/>
    <n v="0"/>
    <s v="synthetic"/>
    <s v="unknown phase"/>
  </r>
  <r>
    <s v="102"/>
    <s v="No"/>
    <x v="101"/>
    <x v="18"/>
    <x v="6"/>
    <s v="f-block"/>
    <s v="N/A"/>
    <n v="-9.9"/>
    <n v="-1100"/>
    <n v="0"/>
    <s v="Gas"/>
    <n v="0"/>
    <n v="1.3"/>
    <n v="0"/>
    <s v="synthetic"/>
    <s v="unknown phase"/>
  </r>
  <r>
    <s v="103"/>
    <s v="Lr"/>
    <x v="102"/>
    <x v="8"/>
    <x v="6"/>
    <s v="d-block"/>
    <s v="N/A"/>
    <n v="-14.4"/>
    <n v="-1900"/>
    <n v="0"/>
    <s v="Gas"/>
    <n v="0"/>
    <n v="1.3"/>
    <n v="0"/>
    <s v="synthetic"/>
    <s v="unknown phase"/>
  </r>
  <r>
    <s v="104"/>
    <s v="Rf"/>
    <x v="103"/>
    <x v="9"/>
    <x v="6"/>
    <s v="d-block"/>
    <s v="N/A"/>
    <n v="-17"/>
    <n v="-2400"/>
    <n v="-5800"/>
    <s v="Gas"/>
    <n v="0"/>
    <n v="0"/>
    <n v="0"/>
    <s v="synthetic"/>
    <s v="unknown phase"/>
  </r>
  <r>
    <s v="105"/>
    <s v="Db"/>
    <x v="104"/>
    <x v="10"/>
    <x v="6"/>
    <s v="d-block"/>
    <s v="N/A"/>
    <n v="-21.6"/>
    <n v="0"/>
    <n v="0"/>
    <s v="Gas"/>
    <n v="0"/>
    <n v="0"/>
    <n v="0"/>
    <s v="synthetic"/>
    <s v="unknown phase"/>
  </r>
  <r>
    <s v="106"/>
    <s v="Sg"/>
    <x v="105"/>
    <x v="11"/>
    <x v="6"/>
    <s v="d-block"/>
    <s v="N/A"/>
    <n v="-23024"/>
    <n v="0"/>
    <n v="0"/>
    <s v="Gas"/>
    <n v="0"/>
    <n v="0"/>
    <n v="0"/>
    <s v="synthetic"/>
    <s v="unknown phase"/>
  </r>
  <r>
    <s v="107"/>
    <s v="Bh"/>
    <x v="106"/>
    <x v="12"/>
    <x v="6"/>
    <s v="d-block"/>
    <s v="N/A"/>
    <n v="-26027"/>
    <n v="0"/>
    <n v="0"/>
    <s v="Gas"/>
    <n v="0"/>
    <n v="0"/>
    <n v="0"/>
    <s v="synthetic"/>
    <s v="unknown phase"/>
  </r>
  <r>
    <s v="108"/>
    <s v="Hs"/>
    <x v="107"/>
    <x v="13"/>
    <x v="6"/>
    <s v="d-block"/>
    <s v="N/A"/>
    <n v="-27029"/>
    <n v="0"/>
    <n v="0"/>
    <s v="Gas"/>
    <n v="0"/>
    <n v="0"/>
    <n v="0"/>
    <s v="synthetic"/>
    <s v="unknown phase"/>
  </r>
  <r>
    <s v="109"/>
    <s v="Mt"/>
    <x v="108"/>
    <x v="14"/>
    <x v="6"/>
    <s v="d-block"/>
    <s v="N/A"/>
    <n v="-27028"/>
    <n v="0"/>
    <n v="0"/>
    <s v="Gas"/>
    <n v="0"/>
    <n v="0"/>
    <n v="0"/>
    <s v="synthetic"/>
    <s v="unknown phase"/>
  </r>
  <r>
    <s v="110"/>
    <s v="Ds"/>
    <x v="109"/>
    <x v="15"/>
    <x v="6"/>
    <s v="d-block"/>
    <s v="N/A"/>
    <n v="-26027"/>
    <n v="0"/>
    <n v="0"/>
    <s v="Gas"/>
    <n v="0"/>
    <n v="0"/>
    <n v="0"/>
    <s v="synthetic"/>
    <s v="unknown phase"/>
  </r>
  <r>
    <s v="111"/>
    <s v="Rg"/>
    <x v="110"/>
    <x v="16"/>
    <x v="6"/>
    <s v="d-block"/>
    <s v="N/A"/>
    <n v="-22024"/>
    <n v="0"/>
    <n v="0"/>
    <s v="Gas"/>
    <n v="0"/>
    <n v="0"/>
    <n v="0"/>
    <s v="synthetic"/>
    <s v="unknown phase"/>
  </r>
  <r>
    <s v="112"/>
    <s v="Cn"/>
    <x v="111"/>
    <x v="17"/>
    <x v="6"/>
    <s v="d-block"/>
    <s v="N/A"/>
    <n v="-14"/>
    <s v="(283±11)"/>
    <s v="(340±10)"/>
    <s v="Solid"/>
    <n v="0"/>
    <n v="0"/>
    <n v="0"/>
    <s v="synthetic"/>
    <s v="unknown phase"/>
  </r>
  <r>
    <s v="113"/>
    <s v="Nh"/>
    <x v="112"/>
    <x v="3"/>
    <x v="6"/>
    <s v="p-block"/>
    <s v="N/A"/>
    <n v="-16"/>
    <n v="-700"/>
    <n v="-1400"/>
    <s v="Gas"/>
    <n v="0"/>
    <n v="0"/>
    <n v="0"/>
    <s v="synthetic"/>
    <s v="unknown phase"/>
  </r>
  <r>
    <s v="114"/>
    <s v="Fl"/>
    <x v="113"/>
    <x v="4"/>
    <x v="6"/>
    <s v="p-block"/>
    <s v="N/A"/>
    <s v="(11.4±0.3)"/>
    <s v="(284±50)"/>
    <n v="0"/>
    <s v="Solid"/>
    <n v="0"/>
    <n v="0"/>
    <n v="0"/>
    <s v="synthetic"/>
    <s v="unknown phase"/>
  </r>
  <r>
    <s v="115"/>
    <s v="Mc"/>
    <x v="114"/>
    <x v="5"/>
    <x v="6"/>
    <s v="p-block"/>
    <s v="N/A"/>
    <n v="-13.5"/>
    <n v="-700"/>
    <n v="-1400"/>
    <s v="Gas"/>
    <n v="0"/>
    <n v="0"/>
    <n v="0"/>
    <s v="synthetic"/>
    <s v="unknown phase"/>
  </r>
  <r>
    <s v="116"/>
    <s v="Lv"/>
    <x v="115"/>
    <x v="6"/>
    <x v="6"/>
    <s v="p-block"/>
    <s v="N/A"/>
    <n v="-12.9"/>
    <n v="-700"/>
    <n v="-1100"/>
    <s v="Gas"/>
    <n v="0"/>
    <n v="0"/>
    <n v="0"/>
    <s v="synthetic"/>
    <s v="unknown phase"/>
  </r>
  <r>
    <s v="117"/>
    <s v="Ts"/>
    <x v="116"/>
    <x v="7"/>
    <x v="6"/>
    <s v="p-block"/>
    <s v="N/A"/>
    <s v="(7.107.3)"/>
    <n v="-700"/>
    <n v="-883"/>
    <s v="Gas"/>
    <n v="0"/>
    <n v="0"/>
    <n v="0"/>
    <s v="synthetic"/>
    <s v="unknown phase"/>
  </r>
  <r>
    <s v="118"/>
    <s v="Og"/>
    <x v="117"/>
    <x v="1"/>
    <x v="6"/>
    <s v="p-block"/>
    <s v="N/A"/>
    <n v="-7"/>
    <s v="(325±15)"/>
    <s v="(450±10)"/>
    <s v="Solid"/>
    <n v="0"/>
    <n v="0"/>
    <n v="0"/>
    <s v="synthetic"/>
    <s v="unknown phase"/>
  </r>
  <r>
    <m/>
    <m/>
    <x v="118"/>
    <x v="19"/>
    <x v="7"/>
    <m/>
    <m/>
    <m/>
    <m/>
    <m/>
    <m/>
    <m/>
    <m/>
    <m/>
    <m/>
    <m/>
  </r>
  <r>
    <m/>
    <m/>
    <x v="118"/>
    <x v="19"/>
    <x v="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069CD-2C28-4804-9FC9-4AF55E198A29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D122" firstHeaderRow="0" firstDataRow="1" firstDataCol="1"/>
  <pivotFields count="16">
    <pivotField showAll="0"/>
    <pivotField showAll="0"/>
    <pivotField axis="axisRow" showAll="0" sortType="ascending">
      <items count="120">
        <item x="88"/>
        <item x="12"/>
        <item x="94"/>
        <item x="50"/>
        <item x="17"/>
        <item x="32"/>
        <item x="84"/>
        <item x="55"/>
        <item x="96"/>
        <item x="3"/>
        <item x="82"/>
        <item x="106"/>
        <item x="4"/>
        <item x="34"/>
        <item x="47"/>
        <item x="54"/>
        <item x="19"/>
        <item x="97"/>
        <item x="5"/>
        <item x="57"/>
        <item x="16"/>
        <item x="23"/>
        <item x="26"/>
        <item x="111"/>
        <item x="28"/>
        <item x="95"/>
        <item x="109"/>
        <item x="104"/>
        <item x="65"/>
        <item x="98"/>
        <item x="67"/>
        <item x="62"/>
        <item x="99"/>
        <item x="113"/>
        <item x="8"/>
        <item x="86"/>
        <item x="63"/>
        <item x="30"/>
        <item x="31"/>
        <item x="78"/>
        <item x="71"/>
        <item x="107"/>
        <item x="1"/>
        <item x="66"/>
        <item x="0"/>
        <item x="48"/>
        <item x="52"/>
        <item x="76"/>
        <item x="25"/>
        <item x="35"/>
        <item x="56"/>
        <item x="102"/>
        <item x="81"/>
        <item x="2"/>
        <item x="115"/>
        <item x="70"/>
        <item x="11"/>
        <item x="24"/>
        <item x="108"/>
        <item x="100"/>
        <item x="79"/>
        <item x="41"/>
        <item x="114"/>
        <item x="59"/>
        <item x="9"/>
        <item x="92"/>
        <item x="27"/>
        <item x="112"/>
        <item x="40"/>
        <item x="6"/>
        <item x="101"/>
        <item x="117"/>
        <item x="75"/>
        <item x="7"/>
        <item x="45"/>
        <item x="14"/>
        <item x="77"/>
        <item x="93"/>
        <item x="83"/>
        <item x="18"/>
        <item x="58"/>
        <item x="60"/>
        <item x="90"/>
        <item x="87"/>
        <item x="85"/>
        <item x="74"/>
        <item x="44"/>
        <item x="110"/>
        <item x="36"/>
        <item x="43"/>
        <item x="103"/>
        <item x="61"/>
        <item x="20"/>
        <item x="105"/>
        <item x="33"/>
        <item x="13"/>
        <item x="46"/>
        <item x="10"/>
        <item x="37"/>
        <item x="15"/>
        <item x="72"/>
        <item x="42"/>
        <item x="51"/>
        <item x="116"/>
        <item x="64"/>
        <item x="80"/>
        <item x="89"/>
        <item x="68"/>
        <item x="49"/>
        <item x="21"/>
        <item x="73"/>
        <item x="91"/>
        <item x="22"/>
        <item x="53"/>
        <item x="69"/>
        <item x="38"/>
        <item x="29"/>
        <item x="39"/>
        <item x="118"/>
        <item t="default"/>
      </items>
    </pivotField>
    <pivotField showAll="0">
      <items count="21">
        <item x="0"/>
        <item x="19"/>
        <item x="18"/>
        <item x="14"/>
        <item x="13"/>
        <item x="12"/>
        <item x="11"/>
        <item x="10"/>
        <item x="9"/>
        <item x="8"/>
        <item x="2"/>
        <item x="1"/>
        <item x="7"/>
        <item x="6"/>
        <item x="5"/>
        <item x="4"/>
        <item x="3"/>
        <item x="17"/>
        <item x="16"/>
        <item x="1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</rowItems>
  <colFields count="1">
    <field x="-2"/>
  </colFields>
  <colItems count="3">
    <i>
      <x/>
    </i>
    <i i="1">
      <x v="1"/>
    </i>
    <i i="2">
      <x v="2"/>
    </i>
  </colItems>
  <dataFields count="3">
    <dataField name=" Atomic weight(Da)" fld="6" baseField="2" baseItem="0" numFmtId="4"/>
    <dataField name="Boiling point(K)" fld="9" baseField="2" baseItem="0"/>
    <dataField name="Melting point(K)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6FE837-3DFD-4356-B812-0693E3D4E231}" autoFormatId="16" applyNumberFormats="0" applyBorderFormats="0" applyFontFormats="0" applyPatternFormats="0" applyAlignmentFormats="0" applyWidthHeightFormats="0">
  <queryTableRefresh nextId="19" unboundColumnsRight="15">
    <queryTableFields count="16">
      <queryTableField id="1" name="Header" tableColumnId="1"/>
      <queryTableField id="2" dataBound="0" tableColumnId="2"/>
      <queryTableField id="3" dataBound="0" tableColumnId="3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8" dataBound="0" tableColumnId="18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  <queryTableDeletedFields count="16">
      <deletedField name="Z"/>
      <deletedField name="Sym."/>
      <deletedField name="Element"/>
      <deletedField name="Name origin [2][3]"/>
      <deletedField name="Group"/>
      <deletedField name="Period"/>
      <deletedField name="Block"/>
      <deletedField name="Atomic weight [a] (Da)"/>
      <deletedField name="Density [b][c] (⁠g/cm3⁠)"/>
      <deletedField name="Melting point[d] (K)"/>
      <deletedField name="Boiling point[e] (K)"/>
      <deletedField name="Specific heat capacity[f] (⁠J/g · K⁠)"/>
      <deletedField name="Electro­negativity [g]"/>
      <deletedField name="Abundance in Earth's crust[h] (⁠mg/kg⁠)"/>
      <deletedField name="Origin[i]"/>
      <deletedField name="Phase[j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D7CB4-9A67-41AC-B965-B843EF7724C4}" name="Periodic_Table" displayName="Periodic_Table" ref="A1:P119" tableType="queryTable" totalsRowShown="0">
  <autoFilter ref="A1:P119" xr:uid="{9B8D7CB4-9A67-41AC-B965-B843EF7724C4}"/>
  <tableColumns count="16">
    <tableColumn id="1" xr3:uid="{29DC369A-2FA5-4556-8889-BD6525944A77}" uniqueName="1" name="Z" queryTableFieldId="1" dataDxfId="15"/>
    <tableColumn id="2" xr3:uid="{F0969067-7654-4F3B-A363-53375E64A108}" uniqueName="2" name="Sym." queryTableFieldId="2" dataDxfId="14"/>
    <tableColumn id="3" xr3:uid="{DE4A85F4-A807-4D50-9A47-446521540742}" uniqueName="3" name="Element" queryTableFieldId="3" dataDxfId="13"/>
    <tableColumn id="5" xr3:uid="{8B830511-F78A-4C45-8BB3-95A458709E97}" uniqueName="5" name="Group" queryTableFieldId="5" dataDxfId="12"/>
    <tableColumn id="6" xr3:uid="{63103CDD-073F-4AAC-A9CD-8458DA762ED8}" uniqueName="6" name="Period" queryTableFieldId="6" dataDxfId="11"/>
    <tableColumn id="7" xr3:uid="{CA5791D0-660D-4F08-9DDE-882EA94008F2}" uniqueName="7" name="Block" queryTableFieldId="7" dataDxfId="9"/>
    <tableColumn id="8" xr3:uid="{F36F59FF-02D9-4158-B285-C9CDA7B6BE9F}" uniqueName="8" name="Atomic weight [a] (Da)" queryTableFieldId="8" dataDxfId="8"/>
    <tableColumn id="9" xr3:uid="{069BB502-AAEA-48F0-BE77-A687FBBF2473}" uniqueName="9" name="Density [b][c] (⁠g/cm3⁠)" queryTableFieldId="9" dataDxfId="7"/>
    <tableColumn id="10" xr3:uid="{EC4B1A33-2761-4AF3-91F6-60648D4D05B3}" uniqueName="10" name="Melting point[d] (K)" queryTableFieldId="10" dataDxfId="6"/>
    <tableColumn id="11" xr3:uid="{26526757-15D1-4245-AE9D-879DB821EFE1}" uniqueName="11" name="Boiling point[e] (K)" queryTableFieldId="11" dataDxfId="5"/>
    <tableColumn id="18" xr3:uid="{493D706A-2170-4C2A-9FEE-B2CB21FBD7AA}" uniqueName="18" name="Physical State" queryTableFieldId="18" dataDxfId="0">
      <calculatedColumnFormula array="1">_xlfn.IFS($I2&gt;293, "Solid", $J2&lt;293, "Gas", TRUE, "Liquid")</calculatedColumnFormula>
    </tableColumn>
    <tableColumn id="12" xr3:uid="{3AACB7B5-A662-4915-A00A-0EFEA186B9CB}" uniqueName="12" name="Specific heat capacity[f] (⁠J/g · K⁠)" queryTableFieldId="12" dataDxfId="4"/>
    <tableColumn id="13" xr3:uid="{A3C86579-438B-43B6-A173-31586C15D5CF}" uniqueName="13" name="Electro­negativity [g]" queryTableFieldId="13" dataDxfId="3"/>
    <tableColumn id="14" xr3:uid="{5CE6134B-F2EE-4188-85F2-EE9F6805B62C}" uniqueName="14" name="Abundance in Earth's crust[h] (⁠mg/kg⁠)" queryTableFieldId="14" dataDxfId="1"/>
    <tableColumn id="15" xr3:uid="{6F149F03-77F2-4E6A-8466-AF31D59688E0}" uniqueName="15" name="Origin[i]" queryTableFieldId="15" dataDxfId="2"/>
    <tableColumn id="16" xr3:uid="{A838A2EB-F4B1-4D11-9DA0-D5CC56561201}" uniqueName="16" name="Phase[j]" queryTableFieldId="16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8D18-BBEE-449A-8836-D205880B30B4}">
  <dimension ref="A3:D122"/>
  <sheetViews>
    <sheetView topLeftCell="A3" zoomScale="85" zoomScaleNormal="85" workbookViewId="0">
      <selection activeCell="B3" sqref="B3"/>
    </sheetView>
  </sheetViews>
  <sheetFormatPr defaultRowHeight="14.5" x14ac:dyDescent="0.35"/>
  <cols>
    <col min="1" max="1" width="13.36328125" bestFit="1" customWidth="1"/>
    <col min="2" max="2" width="17.453125" style="5" bestFit="1" customWidth="1"/>
    <col min="3" max="3" width="14.1796875" style="5" bestFit="1" customWidth="1"/>
    <col min="4" max="4" width="15.08984375" style="5" bestFit="1" customWidth="1"/>
    <col min="5" max="8" width="2" bestFit="1" customWidth="1"/>
    <col min="9" max="9" width="6.81640625" bestFit="1" customWidth="1"/>
    <col min="10" max="10" width="10.81640625" bestFit="1" customWidth="1"/>
    <col min="11" max="12" width="1.81640625" bestFit="1" customWidth="1"/>
    <col min="13" max="21" width="2.81640625" bestFit="1" customWidth="1"/>
    <col min="22" max="22" width="10.7265625" bestFit="1" customWidth="1"/>
  </cols>
  <sheetData>
    <row r="3" spans="1:4" x14ac:dyDescent="0.35">
      <c r="A3" s="3" t="s">
        <v>408</v>
      </c>
      <c r="B3" s="5" t="s">
        <v>412</v>
      </c>
      <c r="C3" s="5" t="s">
        <v>410</v>
      </c>
      <c r="D3" s="5" t="s">
        <v>411</v>
      </c>
    </row>
    <row r="4" spans="1:4" x14ac:dyDescent="0.35">
      <c r="A4" s="4" t="s">
        <v>306</v>
      </c>
      <c r="B4" s="5">
        <v>0</v>
      </c>
      <c r="C4" s="5">
        <v>3471</v>
      </c>
      <c r="D4" s="5">
        <v>1323</v>
      </c>
    </row>
    <row r="5" spans="1:4" x14ac:dyDescent="0.35">
      <c r="A5" s="4" t="s">
        <v>66</v>
      </c>
      <c r="B5" s="5">
        <v>26.981999999999999</v>
      </c>
      <c r="C5" s="5">
        <v>2792</v>
      </c>
      <c r="D5" s="5">
        <v>933.47</v>
      </c>
    </row>
    <row r="6" spans="1:4" x14ac:dyDescent="0.35">
      <c r="A6" s="4" t="s">
        <v>327</v>
      </c>
      <c r="B6" s="5">
        <v>0</v>
      </c>
      <c r="C6" s="5">
        <v>2880</v>
      </c>
      <c r="D6" s="5">
        <v>1449</v>
      </c>
    </row>
    <row r="7" spans="1:4" x14ac:dyDescent="0.35">
      <c r="A7" s="4" t="s">
        <v>183</v>
      </c>
      <c r="B7" s="5">
        <v>121.76</v>
      </c>
      <c r="C7" s="5">
        <v>1860</v>
      </c>
      <c r="D7" s="5">
        <v>903.78</v>
      </c>
    </row>
    <row r="8" spans="1:4" x14ac:dyDescent="0.35">
      <c r="A8" s="4" t="s">
        <v>76</v>
      </c>
      <c r="B8" s="5">
        <v>39.950000000000003</v>
      </c>
      <c r="C8" s="5">
        <v>87.3</v>
      </c>
      <c r="D8" s="5">
        <v>83.8</v>
      </c>
    </row>
    <row r="9" spans="1:4" x14ac:dyDescent="0.35">
      <c r="A9" s="4" t="s">
        <v>124</v>
      </c>
      <c r="B9" s="5">
        <v>74.921999999999997</v>
      </c>
      <c r="C9" s="5">
        <v>887</v>
      </c>
      <c r="D9" s="5">
        <v>1090</v>
      </c>
    </row>
    <row r="10" spans="1:4" x14ac:dyDescent="0.35">
      <c r="A10" s="4" t="s">
        <v>288</v>
      </c>
      <c r="B10" s="5">
        <v>0</v>
      </c>
      <c r="C10" s="5">
        <v>610</v>
      </c>
      <c r="D10" s="5">
        <v>575</v>
      </c>
    </row>
    <row r="11" spans="1:4" x14ac:dyDescent="0.35">
      <c r="A11" s="4" t="s">
        <v>199</v>
      </c>
      <c r="B11" s="5">
        <v>137.33000000000001</v>
      </c>
      <c r="C11" s="5">
        <v>2170</v>
      </c>
      <c r="D11" s="5">
        <v>1000</v>
      </c>
    </row>
    <row r="12" spans="1:4" x14ac:dyDescent="0.35">
      <c r="A12" s="4" t="s">
        <v>334</v>
      </c>
      <c r="B12" s="5">
        <v>0</v>
      </c>
      <c r="C12" s="5">
        <v>2900</v>
      </c>
      <c r="D12" s="5">
        <v>1259</v>
      </c>
    </row>
    <row r="13" spans="1:4" x14ac:dyDescent="0.35">
      <c r="A13" s="4" t="s">
        <v>32</v>
      </c>
      <c r="B13" s="5">
        <v>9.0122</v>
      </c>
      <c r="C13" s="5">
        <v>2742</v>
      </c>
      <c r="D13" s="5">
        <v>1560</v>
      </c>
    </row>
    <row r="14" spans="1:4" x14ac:dyDescent="0.35">
      <c r="A14" s="4" t="s">
        <v>282</v>
      </c>
      <c r="B14" s="5">
        <v>208.98</v>
      </c>
      <c r="C14" s="5">
        <v>1837</v>
      </c>
      <c r="D14" s="5">
        <v>544.70000000000005</v>
      </c>
    </row>
    <row r="15" spans="1:4" x14ac:dyDescent="0.35">
      <c r="A15" s="4" t="s">
        <v>363</v>
      </c>
      <c r="B15" s="5">
        <v>0</v>
      </c>
      <c r="C15" s="5">
        <v>0</v>
      </c>
      <c r="D15" s="5">
        <v>0</v>
      </c>
    </row>
    <row r="16" spans="1:4" x14ac:dyDescent="0.35">
      <c r="A16" s="4" t="s">
        <v>35</v>
      </c>
      <c r="B16" s="5">
        <v>10.81</v>
      </c>
      <c r="C16" s="5">
        <v>4200</v>
      </c>
      <c r="D16" s="5">
        <v>2349</v>
      </c>
    </row>
    <row r="17" spans="1:4" x14ac:dyDescent="0.35">
      <c r="A17" s="4" t="s">
        <v>130</v>
      </c>
      <c r="B17" s="5">
        <v>79.903999999999996</v>
      </c>
      <c r="C17" s="5">
        <v>332</v>
      </c>
      <c r="D17" s="5">
        <v>265.8</v>
      </c>
    </row>
    <row r="18" spans="1:4" x14ac:dyDescent="0.35">
      <c r="A18" s="4" t="s">
        <v>174</v>
      </c>
      <c r="B18" s="5">
        <v>112.41</v>
      </c>
      <c r="C18" s="5">
        <v>1040</v>
      </c>
      <c r="D18" s="5">
        <v>594.22</v>
      </c>
    </row>
    <row r="19" spans="1:4" x14ac:dyDescent="0.35">
      <c r="A19" s="4" t="s">
        <v>196</v>
      </c>
      <c r="B19" s="5">
        <v>132.91</v>
      </c>
      <c r="C19" s="5">
        <v>944</v>
      </c>
      <c r="D19" s="5">
        <v>301.58999999999997</v>
      </c>
    </row>
    <row r="20" spans="1:4" x14ac:dyDescent="0.35">
      <c r="A20" s="4" t="s">
        <v>80</v>
      </c>
      <c r="B20" s="5">
        <v>40.078000000000003</v>
      </c>
      <c r="C20" s="5">
        <v>1757</v>
      </c>
      <c r="D20" s="5">
        <v>1115</v>
      </c>
    </row>
    <row r="21" spans="1:4" x14ac:dyDescent="0.35">
      <c r="A21" s="4" t="s">
        <v>337</v>
      </c>
      <c r="B21" s="5">
        <v>0</v>
      </c>
      <c r="C21" s="5">
        <v>-1743</v>
      </c>
      <c r="D21" s="5">
        <v>1173</v>
      </c>
    </row>
    <row r="22" spans="1:4" x14ac:dyDescent="0.35">
      <c r="A22" s="4" t="s">
        <v>41</v>
      </c>
      <c r="B22" s="5">
        <v>12.010999999999999</v>
      </c>
      <c r="C22" s="5">
        <v>4300</v>
      </c>
      <c r="D22" s="5">
        <v>0</v>
      </c>
    </row>
    <row r="23" spans="1:4" x14ac:dyDescent="0.35">
      <c r="A23" s="4" t="s">
        <v>207</v>
      </c>
      <c r="B23" s="5">
        <v>140.12</v>
      </c>
      <c r="C23" s="5">
        <v>3716</v>
      </c>
      <c r="D23" s="5">
        <v>1068</v>
      </c>
    </row>
    <row r="24" spans="1:4" x14ac:dyDescent="0.35">
      <c r="A24" s="4" t="s">
        <v>74</v>
      </c>
      <c r="B24" s="5">
        <v>35.450000000000003</v>
      </c>
      <c r="C24" s="5">
        <v>239.11</v>
      </c>
      <c r="D24" s="5">
        <v>171.6</v>
      </c>
    </row>
    <row r="25" spans="1:4" x14ac:dyDescent="0.35">
      <c r="A25" s="4" t="s">
        <v>93</v>
      </c>
      <c r="B25" s="5">
        <v>51.996000000000002</v>
      </c>
      <c r="C25" s="5">
        <v>2944</v>
      </c>
      <c r="D25" s="5">
        <v>2180</v>
      </c>
    </row>
    <row r="26" spans="1:4" x14ac:dyDescent="0.35">
      <c r="A26" s="4" t="s">
        <v>103</v>
      </c>
      <c r="B26" s="5">
        <v>58.933</v>
      </c>
      <c r="C26" s="5">
        <v>3200</v>
      </c>
      <c r="D26" s="5">
        <v>1768</v>
      </c>
    </row>
    <row r="27" spans="1:4" x14ac:dyDescent="0.35">
      <c r="A27" s="4" t="s">
        <v>378</v>
      </c>
      <c r="B27" s="5">
        <v>0</v>
      </c>
      <c r="C27" s="5">
        <v>0</v>
      </c>
      <c r="D27" s="5">
        <v>0</v>
      </c>
    </row>
    <row r="28" spans="1:4" x14ac:dyDescent="0.35">
      <c r="A28" s="4" t="s">
        <v>110</v>
      </c>
      <c r="B28" s="5">
        <v>63.545999999999999</v>
      </c>
      <c r="C28" s="5">
        <v>2835</v>
      </c>
      <c r="D28" s="5">
        <v>1357.77</v>
      </c>
    </row>
    <row r="29" spans="1:4" x14ac:dyDescent="0.35">
      <c r="A29" s="4" t="s">
        <v>331</v>
      </c>
      <c r="B29" s="5">
        <v>0</v>
      </c>
      <c r="C29" s="5">
        <v>3383</v>
      </c>
      <c r="D29" s="5">
        <v>1613</v>
      </c>
    </row>
    <row r="30" spans="1:4" x14ac:dyDescent="0.35">
      <c r="A30" s="4" t="s">
        <v>372</v>
      </c>
      <c r="B30" s="5">
        <v>0</v>
      </c>
      <c r="C30" s="5">
        <v>0</v>
      </c>
      <c r="D30" s="5">
        <v>0</v>
      </c>
    </row>
    <row r="31" spans="1:4" x14ac:dyDescent="0.35">
      <c r="A31" s="4" t="s">
        <v>357</v>
      </c>
      <c r="B31" s="5">
        <v>0</v>
      </c>
      <c r="C31" s="5">
        <v>0</v>
      </c>
      <c r="D31" s="5">
        <v>0</v>
      </c>
    </row>
    <row r="32" spans="1:4" x14ac:dyDescent="0.35">
      <c r="A32" s="4" t="s">
        <v>231</v>
      </c>
      <c r="B32" s="5">
        <v>162.5</v>
      </c>
      <c r="C32" s="5">
        <v>2840</v>
      </c>
      <c r="D32" s="5">
        <v>1680</v>
      </c>
    </row>
    <row r="33" spans="1:4" x14ac:dyDescent="0.35">
      <c r="A33" s="4" t="s">
        <v>340</v>
      </c>
      <c r="B33" s="5">
        <v>0</v>
      </c>
      <c r="C33" s="5">
        <v>-1269</v>
      </c>
      <c r="D33" s="5">
        <v>1133</v>
      </c>
    </row>
    <row r="34" spans="1:4" x14ac:dyDescent="0.35">
      <c r="A34" s="4" t="s">
        <v>237</v>
      </c>
      <c r="B34" s="5">
        <v>167.26</v>
      </c>
      <c r="C34" s="5">
        <v>3141</v>
      </c>
      <c r="D34" s="5">
        <v>1802</v>
      </c>
    </row>
    <row r="35" spans="1:4" x14ac:dyDescent="0.35">
      <c r="A35" s="4" t="s">
        <v>222</v>
      </c>
      <c r="B35" s="5">
        <v>151.96</v>
      </c>
      <c r="C35" s="5">
        <v>1802</v>
      </c>
      <c r="D35" s="5">
        <v>1099</v>
      </c>
    </row>
    <row r="36" spans="1:4" x14ac:dyDescent="0.35">
      <c r="A36" s="4" t="s">
        <v>343</v>
      </c>
      <c r="B36" s="5">
        <v>0</v>
      </c>
      <c r="C36" s="5">
        <v>0</v>
      </c>
      <c r="D36" s="5">
        <v>-1125</v>
      </c>
    </row>
    <row r="37" spans="1:4" x14ac:dyDescent="0.35">
      <c r="A37" s="4" t="s">
        <v>386</v>
      </c>
      <c r="B37" s="5">
        <v>0</v>
      </c>
      <c r="C37" s="5">
        <v>0</v>
      </c>
      <c r="D37" s="5">
        <v>0</v>
      </c>
    </row>
    <row r="38" spans="1:4" x14ac:dyDescent="0.35">
      <c r="A38" s="4" t="s">
        <v>55</v>
      </c>
      <c r="B38" s="5">
        <v>18.998000000000001</v>
      </c>
      <c r="C38" s="5">
        <v>85.03</v>
      </c>
      <c r="D38" s="5">
        <v>53.53</v>
      </c>
    </row>
    <row r="39" spans="1:4" x14ac:dyDescent="0.35">
      <c r="A39" s="4" t="s">
        <v>297</v>
      </c>
      <c r="B39" s="5">
        <v>0</v>
      </c>
      <c r="C39" s="5">
        <v>890</v>
      </c>
      <c r="D39" s="5">
        <v>281</v>
      </c>
    </row>
    <row r="40" spans="1:4" x14ac:dyDescent="0.35">
      <c r="A40" s="4" t="s">
        <v>225</v>
      </c>
      <c r="B40" s="5">
        <v>157.25</v>
      </c>
      <c r="C40" s="5">
        <v>3546</v>
      </c>
      <c r="D40" s="5">
        <v>1585</v>
      </c>
    </row>
    <row r="41" spans="1:4" x14ac:dyDescent="0.35">
      <c r="A41" s="4" t="s">
        <v>118</v>
      </c>
      <c r="B41" s="5">
        <v>69.722999999999999</v>
      </c>
      <c r="C41" s="5">
        <v>2673</v>
      </c>
      <c r="D41" s="5">
        <v>302.91460000000001</v>
      </c>
    </row>
    <row r="42" spans="1:4" x14ac:dyDescent="0.35">
      <c r="A42" s="4" t="s">
        <v>121</v>
      </c>
      <c r="B42" s="5">
        <v>72.63</v>
      </c>
      <c r="C42" s="5">
        <v>3106</v>
      </c>
      <c r="D42" s="5">
        <v>1211.4000000000001</v>
      </c>
    </row>
    <row r="43" spans="1:4" x14ac:dyDescent="0.35">
      <c r="A43" s="4" t="s">
        <v>270</v>
      </c>
      <c r="B43" s="5">
        <v>196.97</v>
      </c>
      <c r="C43" s="5">
        <v>3129</v>
      </c>
      <c r="D43" s="5">
        <v>1337.33</v>
      </c>
    </row>
    <row r="44" spans="1:4" x14ac:dyDescent="0.35">
      <c r="A44" s="4" t="s">
        <v>248</v>
      </c>
      <c r="B44" s="5">
        <v>178.49</v>
      </c>
      <c r="C44" s="5">
        <v>4876</v>
      </c>
      <c r="D44" s="5">
        <v>2506</v>
      </c>
    </row>
    <row r="45" spans="1:4" x14ac:dyDescent="0.35">
      <c r="A45" s="4" t="s">
        <v>366</v>
      </c>
      <c r="B45" s="5">
        <v>0</v>
      </c>
      <c r="C45" s="5">
        <v>0</v>
      </c>
      <c r="D45" s="5">
        <v>0</v>
      </c>
    </row>
    <row r="46" spans="1:4" x14ac:dyDescent="0.35">
      <c r="A46" s="4" t="s">
        <v>23</v>
      </c>
      <c r="B46" s="5">
        <v>4.0026000000000002</v>
      </c>
      <c r="C46" s="5">
        <v>4.22</v>
      </c>
      <c r="D46" s="5">
        <v>0</v>
      </c>
    </row>
    <row r="47" spans="1:4" x14ac:dyDescent="0.35">
      <c r="A47" s="4" t="s">
        <v>234</v>
      </c>
      <c r="B47" s="5">
        <v>164.93</v>
      </c>
      <c r="C47" s="5">
        <v>2993</v>
      </c>
      <c r="D47" s="5">
        <v>1734</v>
      </c>
    </row>
    <row r="48" spans="1:4" x14ac:dyDescent="0.35">
      <c r="A48" s="4" t="s">
        <v>17</v>
      </c>
      <c r="B48" s="5">
        <v>1.008</v>
      </c>
      <c r="C48" s="5">
        <v>20.28</v>
      </c>
      <c r="D48" s="5">
        <v>14.01</v>
      </c>
    </row>
    <row r="49" spans="1:4" x14ac:dyDescent="0.35">
      <c r="A49" s="4" t="s">
        <v>177</v>
      </c>
      <c r="B49" s="5">
        <v>114.82</v>
      </c>
      <c r="C49" s="5">
        <v>2345</v>
      </c>
      <c r="D49" s="5">
        <v>429.75</v>
      </c>
    </row>
    <row r="50" spans="1:4" x14ac:dyDescent="0.35">
      <c r="A50" s="4" t="s">
        <v>189</v>
      </c>
      <c r="B50" s="5">
        <v>126.9</v>
      </c>
      <c r="C50" s="5">
        <v>457.4</v>
      </c>
      <c r="D50" s="5">
        <v>386.85</v>
      </c>
    </row>
    <row r="51" spans="1:4" x14ac:dyDescent="0.35">
      <c r="A51" s="4" t="s">
        <v>264</v>
      </c>
      <c r="B51" s="5">
        <v>192.22</v>
      </c>
      <c r="C51" s="5">
        <v>4701</v>
      </c>
      <c r="D51" s="5">
        <v>2719</v>
      </c>
    </row>
    <row r="52" spans="1:4" x14ac:dyDescent="0.35">
      <c r="A52" s="4" t="s">
        <v>100</v>
      </c>
      <c r="B52" s="5">
        <v>55.844999999999999</v>
      </c>
      <c r="C52" s="5">
        <v>3134</v>
      </c>
      <c r="D52" s="5">
        <v>1811</v>
      </c>
    </row>
    <row r="53" spans="1:4" x14ac:dyDescent="0.35">
      <c r="A53" s="4" t="s">
        <v>134</v>
      </c>
      <c r="B53" s="5">
        <v>83.798000000000002</v>
      </c>
      <c r="C53" s="5">
        <v>119.93</v>
      </c>
      <c r="D53" s="5">
        <v>115.79</v>
      </c>
    </row>
    <row r="54" spans="1:4" x14ac:dyDescent="0.35">
      <c r="A54" s="4" t="s">
        <v>202</v>
      </c>
      <c r="B54" s="5">
        <v>138.91</v>
      </c>
      <c r="C54" s="5">
        <v>3737</v>
      </c>
      <c r="D54" s="5">
        <v>1193</v>
      </c>
    </row>
    <row r="55" spans="1:4" x14ac:dyDescent="0.35">
      <c r="A55" s="4" t="s">
        <v>351</v>
      </c>
      <c r="B55" s="5">
        <v>0</v>
      </c>
      <c r="C55" s="5">
        <v>0</v>
      </c>
      <c r="D55" s="5">
        <v>-1900</v>
      </c>
    </row>
    <row r="56" spans="1:4" x14ac:dyDescent="0.35">
      <c r="A56" s="4" t="s">
        <v>279</v>
      </c>
      <c r="B56" s="5">
        <v>207.2</v>
      </c>
      <c r="C56" s="5">
        <v>2022</v>
      </c>
      <c r="D56" s="5">
        <v>600.61</v>
      </c>
    </row>
    <row r="57" spans="1:4" x14ac:dyDescent="0.35">
      <c r="A57" s="4" t="s">
        <v>27</v>
      </c>
      <c r="B57" s="5">
        <v>6.94</v>
      </c>
      <c r="C57" s="5">
        <v>1560</v>
      </c>
      <c r="D57" s="5">
        <v>453.69</v>
      </c>
    </row>
    <row r="58" spans="1:4" x14ac:dyDescent="0.35">
      <c r="A58" s="4" t="s">
        <v>394</v>
      </c>
      <c r="B58" s="5">
        <v>0</v>
      </c>
      <c r="C58" s="5">
        <v>-1100</v>
      </c>
      <c r="D58" s="5">
        <v>-700</v>
      </c>
    </row>
    <row r="59" spans="1:4" x14ac:dyDescent="0.35">
      <c r="A59" s="4" t="s">
        <v>245</v>
      </c>
      <c r="B59" s="5">
        <v>174.97</v>
      </c>
      <c r="C59" s="5">
        <v>3675</v>
      </c>
      <c r="D59" s="5">
        <v>1925</v>
      </c>
    </row>
    <row r="60" spans="1:4" x14ac:dyDescent="0.35">
      <c r="A60" s="4" t="s">
        <v>64</v>
      </c>
      <c r="B60" s="5">
        <v>24.305</v>
      </c>
      <c r="C60" s="5">
        <v>1363</v>
      </c>
      <c r="D60" s="5">
        <v>923</v>
      </c>
    </row>
    <row r="61" spans="1:4" x14ac:dyDescent="0.35">
      <c r="A61" s="4" t="s">
        <v>97</v>
      </c>
      <c r="B61" s="5">
        <v>54.938000000000002</v>
      </c>
      <c r="C61" s="5">
        <v>2334</v>
      </c>
      <c r="D61" s="5">
        <v>1519</v>
      </c>
    </row>
    <row r="62" spans="1:4" x14ac:dyDescent="0.35">
      <c r="A62" s="4" t="s">
        <v>369</v>
      </c>
      <c r="B62" s="5">
        <v>0</v>
      </c>
      <c r="C62" s="5">
        <v>0</v>
      </c>
      <c r="D62" s="5">
        <v>0</v>
      </c>
    </row>
    <row r="63" spans="1:4" x14ac:dyDescent="0.35">
      <c r="A63" s="4" t="s">
        <v>346</v>
      </c>
      <c r="B63" s="5">
        <v>0</v>
      </c>
      <c r="C63" s="5">
        <v>0</v>
      </c>
      <c r="D63" s="5">
        <v>-1100</v>
      </c>
    </row>
    <row r="64" spans="1:4" x14ac:dyDescent="0.35">
      <c r="A64" s="4" t="s">
        <v>273</v>
      </c>
      <c r="B64" s="5">
        <v>200.59</v>
      </c>
      <c r="C64" s="5">
        <v>629.88</v>
      </c>
      <c r="D64" s="5">
        <v>234.43</v>
      </c>
    </row>
    <row r="65" spans="1:4" x14ac:dyDescent="0.35">
      <c r="A65" s="4" t="s">
        <v>154</v>
      </c>
      <c r="B65" s="5">
        <v>95.95</v>
      </c>
      <c r="C65" s="5">
        <v>4912</v>
      </c>
      <c r="D65" s="5">
        <v>2896</v>
      </c>
    </row>
    <row r="66" spans="1:4" x14ac:dyDescent="0.35">
      <c r="A66" s="4" t="s">
        <v>391</v>
      </c>
      <c r="B66" s="5">
        <v>0</v>
      </c>
      <c r="C66" s="5">
        <v>-1400</v>
      </c>
      <c r="D66" s="5">
        <v>-700</v>
      </c>
    </row>
    <row r="67" spans="1:4" x14ac:dyDescent="0.35">
      <c r="A67" s="4" t="s">
        <v>212</v>
      </c>
      <c r="B67" s="5">
        <v>144.24</v>
      </c>
      <c r="C67" s="5">
        <v>3347</v>
      </c>
      <c r="D67" s="5">
        <v>1297</v>
      </c>
    </row>
    <row r="68" spans="1:4" x14ac:dyDescent="0.35">
      <c r="A68" s="4" t="s">
        <v>58</v>
      </c>
      <c r="B68" s="5">
        <v>20.18</v>
      </c>
      <c r="C68" s="5">
        <v>27.07</v>
      </c>
      <c r="D68" s="5">
        <v>24.56</v>
      </c>
    </row>
    <row r="69" spans="1:4" x14ac:dyDescent="0.35">
      <c r="A69" s="4" t="s">
        <v>319</v>
      </c>
      <c r="B69" s="5">
        <v>0</v>
      </c>
      <c r="C69" s="5">
        <v>4273</v>
      </c>
      <c r="D69" s="5">
        <v>917</v>
      </c>
    </row>
    <row r="70" spans="1:4" x14ac:dyDescent="0.35">
      <c r="A70" s="4" t="s">
        <v>106</v>
      </c>
      <c r="B70" s="5">
        <v>58.692999999999998</v>
      </c>
      <c r="C70" s="5">
        <v>3186</v>
      </c>
      <c r="D70" s="5">
        <v>1728</v>
      </c>
    </row>
    <row r="71" spans="1:4" x14ac:dyDescent="0.35">
      <c r="A71" s="4" t="s">
        <v>383</v>
      </c>
      <c r="B71" s="5">
        <v>0</v>
      </c>
      <c r="C71" s="5">
        <v>-1400</v>
      </c>
      <c r="D71" s="5">
        <v>-700</v>
      </c>
    </row>
    <row r="72" spans="1:4" x14ac:dyDescent="0.35">
      <c r="A72" s="4" t="s">
        <v>151</v>
      </c>
      <c r="B72" s="5">
        <v>92.906000000000006</v>
      </c>
      <c r="C72" s="5">
        <v>5017</v>
      </c>
      <c r="D72" s="5">
        <v>2750</v>
      </c>
    </row>
    <row r="73" spans="1:4" x14ac:dyDescent="0.35">
      <c r="A73" s="4" t="s">
        <v>46</v>
      </c>
      <c r="B73" s="5">
        <v>14.007</v>
      </c>
      <c r="C73" s="5">
        <v>77.36</v>
      </c>
      <c r="D73" s="5">
        <v>63.15</v>
      </c>
    </row>
    <row r="74" spans="1:4" x14ac:dyDescent="0.35">
      <c r="A74" s="4" t="s">
        <v>348</v>
      </c>
      <c r="B74" s="5">
        <v>0</v>
      </c>
      <c r="C74" s="5">
        <v>0</v>
      </c>
      <c r="D74" s="5">
        <v>-1100</v>
      </c>
    </row>
    <row r="75" spans="1:4" x14ac:dyDescent="0.35">
      <c r="A75" s="4" t="s">
        <v>400</v>
      </c>
      <c r="B75" s="5">
        <v>0</v>
      </c>
      <c r="C75" s="5">
        <v>0</v>
      </c>
      <c r="D75" s="5">
        <v>0</v>
      </c>
    </row>
    <row r="76" spans="1:4" x14ac:dyDescent="0.35">
      <c r="A76" s="4" t="s">
        <v>261</v>
      </c>
      <c r="B76" s="5">
        <v>190.23</v>
      </c>
      <c r="C76" s="5">
        <v>5285</v>
      </c>
      <c r="D76" s="5">
        <v>3306</v>
      </c>
    </row>
    <row r="77" spans="1:4" x14ac:dyDescent="0.35">
      <c r="A77" s="4" t="s">
        <v>51</v>
      </c>
      <c r="B77" s="5">
        <v>15.999000000000001</v>
      </c>
      <c r="C77" s="5">
        <v>90.2</v>
      </c>
      <c r="D77" s="5">
        <v>54.36</v>
      </c>
    </row>
    <row r="78" spans="1:4" x14ac:dyDescent="0.35">
      <c r="A78" s="4" t="s">
        <v>168</v>
      </c>
      <c r="B78" s="5">
        <v>106.42</v>
      </c>
      <c r="C78" s="5">
        <v>3236</v>
      </c>
      <c r="D78" s="5">
        <v>1828.05</v>
      </c>
    </row>
    <row r="79" spans="1:4" x14ac:dyDescent="0.35">
      <c r="A79" s="4" t="s">
        <v>70</v>
      </c>
      <c r="B79" s="5">
        <v>30.974</v>
      </c>
      <c r="C79" s="5">
        <v>550</v>
      </c>
      <c r="D79" s="5">
        <v>317.3</v>
      </c>
    </row>
    <row r="80" spans="1:4" x14ac:dyDescent="0.35">
      <c r="A80" s="4" t="s">
        <v>267</v>
      </c>
      <c r="B80" s="5">
        <v>195.08</v>
      </c>
      <c r="C80" s="5">
        <v>4098</v>
      </c>
      <c r="D80" s="5">
        <v>2041.4</v>
      </c>
    </row>
    <row r="81" spans="1:4" x14ac:dyDescent="0.35">
      <c r="A81" s="4" t="s">
        <v>323</v>
      </c>
      <c r="B81" s="5">
        <v>0</v>
      </c>
      <c r="C81" s="5">
        <v>3501</v>
      </c>
      <c r="D81" s="5">
        <v>912.5</v>
      </c>
    </row>
    <row r="82" spans="1:4" x14ac:dyDescent="0.35">
      <c r="A82" s="4" t="s">
        <v>284</v>
      </c>
      <c r="B82" s="5">
        <v>0</v>
      </c>
      <c r="C82" s="5">
        <v>1235</v>
      </c>
      <c r="D82" s="5">
        <v>527</v>
      </c>
    </row>
    <row r="83" spans="1:4" x14ac:dyDescent="0.35">
      <c r="A83" s="4" t="s">
        <v>78</v>
      </c>
      <c r="B83" s="5">
        <v>39.097999999999999</v>
      </c>
      <c r="C83" s="5">
        <v>1032</v>
      </c>
      <c r="D83" s="5">
        <v>336.53</v>
      </c>
    </row>
    <row r="84" spans="1:4" x14ac:dyDescent="0.35">
      <c r="A84" s="4" t="s">
        <v>210</v>
      </c>
      <c r="B84" s="5">
        <v>140.91</v>
      </c>
      <c r="C84" s="5">
        <v>3793</v>
      </c>
      <c r="D84" s="5">
        <v>1208</v>
      </c>
    </row>
    <row r="85" spans="1:4" x14ac:dyDescent="0.35">
      <c r="A85" s="4" t="s">
        <v>215</v>
      </c>
      <c r="B85" s="5">
        <v>0</v>
      </c>
      <c r="C85" s="5">
        <v>3273</v>
      </c>
      <c r="D85" s="5">
        <v>1315</v>
      </c>
    </row>
    <row r="86" spans="1:4" x14ac:dyDescent="0.35">
      <c r="A86" s="4" t="s">
        <v>312</v>
      </c>
      <c r="B86" s="5">
        <v>231.04</v>
      </c>
      <c r="C86" s="5">
        <v>4300</v>
      </c>
      <c r="D86" s="5">
        <v>1841</v>
      </c>
    </row>
    <row r="87" spans="1:4" x14ac:dyDescent="0.35">
      <c r="A87" s="4" t="s">
        <v>302</v>
      </c>
      <c r="B87" s="5">
        <v>0</v>
      </c>
      <c r="C87" s="5">
        <v>2010</v>
      </c>
      <c r="D87" s="5">
        <v>973</v>
      </c>
    </row>
    <row r="88" spans="1:4" x14ac:dyDescent="0.35">
      <c r="A88" s="4" t="s">
        <v>293</v>
      </c>
      <c r="B88" s="5">
        <v>0</v>
      </c>
      <c r="C88" s="5">
        <v>211.3</v>
      </c>
      <c r="D88" s="5">
        <v>202</v>
      </c>
    </row>
    <row r="89" spans="1:4" x14ac:dyDescent="0.35">
      <c r="A89" s="4" t="s">
        <v>257</v>
      </c>
      <c r="B89" s="5">
        <v>186.21</v>
      </c>
      <c r="C89" s="5">
        <v>5869</v>
      </c>
      <c r="D89" s="5">
        <v>3459</v>
      </c>
    </row>
    <row r="90" spans="1:4" x14ac:dyDescent="0.35">
      <c r="A90" s="4" t="s">
        <v>165</v>
      </c>
      <c r="B90" s="5">
        <v>102.91</v>
      </c>
      <c r="C90" s="5">
        <v>3968</v>
      </c>
      <c r="D90" s="5">
        <v>2237</v>
      </c>
    </row>
    <row r="91" spans="1:4" x14ac:dyDescent="0.35">
      <c r="A91" s="4" t="s">
        <v>375</v>
      </c>
      <c r="B91" s="5">
        <v>0</v>
      </c>
      <c r="C91" s="5">
        <v>0</v>
      </c>
      <c r="D91" s="5">
        <v>0</v>
      </c>
    </row>
    <row r="92" spans="1:4" x14ac:dyDescent="0.35">
      <c r="A92" s="4" t="s">
        <v>138</v>
      </c>
      <c r="B92" s="5">
        <v>85.468000000000004</v>
      </c>
      <c r="C92" s="5">
        <v>961</v>
      </c>
      <c r="D92" s="5">
        <v>312.45999999999998</v>
      </c>
    </row>
    <row r="93" spans="1:4" x14ac:dyDescent="0.35">
      <c r="A93" s="4" t="s">
        <v>162</v>
      </c>
      <c r="B93" s="5">
        <v>101.07</v>
      </c>
      <c r="C93" s="5">
        <v>4423</v>
      </c>
      <c r="D93" s="5">
        <v>2607</v>
      </c>
    </row>
    <row r="94" spans="1:4" x14ac:dyDescent="0.35">
      <c r="A94" s="4" t="s">
        <v>354</v>
      </c>
      <c r="B94" s="5">
        <v>0</v>
      </c>
      <c r="C94" s="5">
        <v>-5800</v>
      </c>
      <c r="D94" s="5">
        <v>-2400</v>
      </c>
    </row>
    <row r="95" spans="1:4" x14ac:dyDescent="0.35">
      <c r="A95" s="4" t="s">
        <v>219</v>
      </c>
      <c r="B95" s="5">
        <v>150.36000000000001</v>
      </c>
      <c r="C95" s="5">
        <v>2067</v>
      </c>
      <c r="D95" s="5">
        <v>1345</v>
      </c>
    </row>
    <row r="96" spans="1:4" x14ac:dyDescent="0.35">
      <c r="A96" s="4" t="s">
        <v>83</v>
      </c>
      <c r="B96" s="5">
        <v>44.956000000000003</v>
      </c>
      <c r="C96" s="5">
        <v>3109</v>
      </c>
      <c r="D96" s="5">
        <v>1814</v>
      </c>
    </row>
    <row r="97" spans="1:4" x14ac:dyDescent="0.35">
      <c r="A97" s="4" t="s">
        <v>360</v>
      </c>
      <c r="B97" s="5">
        <v>0</v>
      </c>
      <c r="C97" s="5">
        <v>0</v>
      </c>
      <c r="D97" s="5">
        <v>0</v>
      </c>
    </row>
    <row r="98" spans="1:4" x14ac:dyDescent="0.35">
      <c r="A98" s="4" t="s">
        <v>127</v>
      </c>
      <c r="B98" s="5">
        <v>78.971000000000004</v>
      </c>
      <c r="C98" s="5">
        <v>958</v>
      </c>
      <c r="D98" s="5">
        <v>453</v>
      </c>
    </row>
    <row r="99" spans="1:4" x14ac:dyDescent="0.35">
      <c r="A99" s="4" t="s">
        <v>68</v>
      </c>
      <c r="B99" s="5">
        <v>28.085000000000001</v>
      </c>
      <c r="C99" s="5">
        <v>3538</v>
      </c>
      <c r="D99" s="5">
        <v>1687</v>
      </c>
    </row>
    <row r="100" spans="1:4" x14ac:dyDescent="0.35">
      <c r="A100" s="4" t="s">
        <v>171</v>
      </c>
      <c r="B100" s="5">
        <v>107.87</v>
      </c>
      <c r="C100" s="5">
        <v>2435</v>
      </c>
      <c r="D100" s="5">
        <v>1234.93</v>
      </c>
    </row>
    <row r="101" spans="1:4" x14ac:dyDescent="0.35">
      <c r="A101" s="4" t="s">
        <v>61</v>
      </c>
      <c r="B101" s="5">
        <v>22.99</v>
      </c>
      <c r="C101" s="5">
        <v>1156</v>
      </c>
      <c r="D101" s="5">
        <v>370.87</v>
      </c>
    </row>
    <row r="102" spans="1:4" x14ac:dyDescent="0.35">
      <c r="A102" s="4" t="s">
        <v>142</v>
      </c>
      <c r="B102" s="5">
        <v>87.62</v>
      </c>
      <c r="C102" s="5">
        <v>1655</v>
      </c>
      <c r="D102" s="5">
        <v>1050</v>
      </c>
    </row>
    <row r="103" spans="1:4" x14ac:dyDescent="0.35">
      <c r="A103" s="4" t="s">
        <v>72</v>
      </c>
      <c r="B103" s="5">
        <v>32.06</v>
      </c>
      <c r="C103" s="5">
        <v>717.87</v>
      </c>
      <c r="D103" s="5">
        <v>388.36</v>
      </c>
    </row>
    <row r="104" spans="1:4" x14ac:dyDescent="0.35">
      <c r="A104" s="4" t="s">
        <v>251</v>
      </c>
      <c r="B104" s="5">
        <v>180.95</v>
      </c>
      <c r="C104" s="5">
        <v>5731</v>
      </c>
      <c r="D104" s="5">
        <v>3290</v>
      </c>
    </row>
    <row r="105" spans="1:4" x14ac:dyDescent="0.35">
      <c r="A105" s="4" t="s">
        <v>157</v>
      </c>
      <c r="B105" s="5">
        <v>0</v>
      </c>
      <c r="C105" s="5">
        <v>4538</v>
      </c>
      <c r="D105" s="5">
        <v>2430</v>
      </c>
    </row>
    <row r="106" spans="1:4" x14ac:dyDescent="0.35">
      <c r="A106" s="4" t="s">
        <v>186</v>
      </c>
      <c r="B106" s="5">
        <v>127.6</v>
      </c>
      <c r="C106" s="5">
        <v>1261</v>
      </c>
      <c r="D106" s="5">
        <v>722.66</v>
      </c>
    </row>
    <row r="107" spans="1:4" x14ac:dyDescent="0.35">
      <c r="A107" s="4" t="s">
        <v>397</v>
      </c>
      <c r="B107" s="5">
        <v>0</v>
      </c>
      <c r="C107" s="5">
        <v>-883</v>
      </c>
      <c r="D107" s="5">
        <v>-700</v>
      </c>
    </row>
    <row r="108" spans="1:4" x14ac:dyDescent="0.35">
      <c r="A108" s="4" t="s">
        <v>228</v>
      </c>
      <c r="B108" s="5">
        <v>158.93</v>
      </c>
      <c r="C108" s="5">
        <v>3503</v>
      </c>
      <c r="D108" s="5">
        <v>1629</v>
      </c>
    </row>
    <row r="109" spans="1:4" x14ac:dyDescent="0.35">
      <c r="A109" s="4" t="s">
        <v>276</v>
      </c>
      <c r="B109" s="5">
        <v>204.38</v>
      </c>
      <c r="C109" s="5">
        <v>1746</v>
      </c>
      <c r="D109" s="5">
        <v>577</v>
      </c>
    </row>
    <row r="110" spans="1:4" x14ac:dyDescent="0.35">
      <c r="A110" s="4" t="s">
        <v>309</v>
      </c>
      <c r="B110" s="5">
        <v>232.04</v>
      </c>
      <c r="C110" s="5">
        <v>5061</v>
      </c>
      <c r="D110" s="5">
        <v>2115</v>
      </c>
    </row>
    <row r="111" spans="1:4" x14ac:dyDescent="0.35">
      <c r="A111" s="4" t="s">
        <v>240</v>
      </c>
      <c r="B111" s="5">
        <v>168.93</v>
      </c>
      <c r="C111" s="5">
        <v>2223</v>
      </c>
      <c r="D111" s="5">
        <v>1818</v>
      </c>
    </row>
    <row r="112" spans="1:4" x14ac:dyDescent="0.35">
      <c r="A112" s="4" t="s">
        <v>180</v>
      </c>
      <c r="B112" s="5">
        <v>118.71</v>
      </c>
      <c r="C112" s="5">
        <v>2875</v>
      </c>
      <c r="D112" s="5">
        <v>505.08</v>
      </c>
    </row>
    <row r="113" spans="1:4" x14ac:dyDescent="0.35">
      <c r="A113" s="4" t="s">
        <v>87</v>
      </c>
      <c r="B113" s="5">
        <v>47.866999999999997</v>
      </c>
      <c r="C113" s="5">
        <v>3560</v>
      </c>
      <c r="D113" s="5">
        <v>1941</v>
      </c>
    </row>
    <row r="114" spans="1:4" x14ac:dyDescent="0.35">
      <c r="A114" s="4" t="s">
        <v>254</v>
      </c>
      <c r="B114" s="5">
        <v>183.84</v>
      </c>
      <c r="C114" s="5">
        <v>6203</v>
      </c>
      <c r="D114" s="5">
        <v>3695</v>
      </c>
    </row>
    <row r="115" spans="1:4" x14ac:dyDescent="0.35">
      <c r="A115" s="4" t="s">
        <v>316</v>
      </c>
      <c r="B115" s="5">
        <v>238.03</v>
      </c>
      <c r="C115" s="5">
        <v>4404</v>
      </c>
      <c r="D115" s="5">
        <v>1405.3</v>
      </c>
    </row>
    <row r="116" spans="1:4" x14ac:dyDescent="0.35">
      <c r="A116" s="4" t="s">
        <v>90</v>
      </c>
      <c r="B116" s="5">
        <v>50.942</v>
      </c>
      <c r="C116" s="5">
        <v>3680</v>
      </c>
      <c r="D116" s="5">
        <v>2183</v>
      </c>
    </row>
    <row r="117" spans="1:4" x14ac:dyDescent="0.35">
      <c r="A117" s="4" t="s">
        <v>192</v>
      </c>
      <c r="B117" s="5">
        <v>131.29</v>
      </c>
      <c r="C117" s="5">
        <v>165.03</v>
      </c>
      <c r="D117" s="5">
        <v>161.4</v>
      </c>
    </row>
    <row r="118" spans="1:4" x14ac:dyDescent="0.35">
      <c r="A118" s="4" t="s">
        <v>242</v>
      </c>
      <c r="B118" s="5">
        <v>173.05</v>
      </c>
      <c r="C118" s="5">
        <v>1469</v>
      </c>
      <c r="D118" s="5">
        <v>1097</v>
      </c>
    </row>
    <row r="119" spans="1:4" x14ac:dyDescent="0.35">
      <c r="A119" s="4" t="s">
        <v>145</v>
      </c>
      <c r="B119" s="5">
        <v>88.906000000000006</v>
      </c>
      <c r="C119" s="5">
        <v>3609</v>
      </c>
      <c r="D119" s="5">
        <v>1799</v>
      </c>
    </row>
    <row r="120" spans="1:4" x14ac:dyDescent="0.35">
      <c r="A120" s="4" t="s">
        <v>114</v>
      </c>
      <c r="B120" s="5">
        <v>65.38</v>
      </c>
      <c r="C120" s="5">
        <v>1180</v>
      </c>
      <c r="D120" s="5">
        <v>692.88</v>
      </c>
    </row>
    <row r="121" spans="1:4" x14ac:dyDescent="0.35">
      <c r="A121" s="4" t="s">
        <v>148</v>
      </c>
      <c r="B121" s="5">
        <v>91.224000000000004</v>
      </c>
      <c r="C121" s="5">
        <v>4682</v>
      </c>
      <c r="D121" s="5">
        <v>2128</v>
      </c>
    </row>
    <row r="122" spans="1:4" x14ac:dyDescent="0.35">
      <c r="A122" s="4" t="s">
        <v>409</v>
      </c>
    </row>
  </sheetData>
  <sortState xmlns:xlrd2="http://schemas.microsoft.com/office/spreadsheetml/2017/richdata2" columnSort="1" ref="A3:D122">
    <sortCondition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1393-035F-4B06-840B-2186BFE53171}">
  <dimension ref="A1:P119"/>
  <sheetViews>
    <sheetView tabSelected="1" workbookViewId="0">
      <selection activeCell="G1" sqref="G1:G1048576"/>
    </sheetView>
  </sheetViews>
  <sheetFormatPr defaultRowHeight="14.5" x14ac:dyDescent="0.35"/>
  <cols>
    <col min="1" max="1" width="4.08984375" bestFit="1" customWidth="1"/>
    <col min="2" max="2" width="7.08984375" bestFit="1" customWidth="1"/>
    <col min="3" max="3" width="13.36328125" bestFit="1" customWidth="1"/>
    <col min="4" max="4" width="12.6328125" bestFit="1" customWidth="1"/>
    <col min="5" max="5" width="8.54296875" bestFit="1" customWidth="1"/>
    <col min="6" max="6" width="7.54296875" bestFit="1" customWidth="1"/>
    <col min="7" max="7" width="22" style="2" bestFit="1" customWidth="1"/>
    <col min="8" max="8" width="21.36328125" style="2" bestFit="1" customWidth="1"/>
    <col min="9" max="9" width="19.7265625" style="2" bestFit="1" customWidth="1"/>
    <col min="10" max="10" width="18.7265625" style="2" bestFit="1" customWidth="1"/>
    <col min="11" max="11" width="14.54296875" style="2" bestFit="1" customWidth="1"/>
    <col min="12" max="12" width="29.7265625" style="2" bestFit="1" customWidth="1"/>
    <col min="13" max="13" width="20.54296875" style="2" bestFit="1" customWidth="1"/>
    <col min="14" max="14" width="35.26953125" style="2" bestFit="1" customWidth="1"/>
    <col min="15" max="15" width="10.1796875" bestFit="1" customWidth="1"/>
    <col min="16" max="16" width="14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407</v>
      </c>
      <c r="L1" s="2" t="s">
        <v>10</v>
      </c>
      <c r="M1" s="2" t="s">
        <v>11</v>
      </c>
      <c r="N1" s="2" t="s">
        <v>12</v>
      </c>
      <c r="O1" t="s">
        <v>13</v>
      </c>
      <c r="P1" t="s">
        <v>14</v>
      </c>
    </row>
    <row r="2" spans="1:16" x14ac:dyDescent="0.35">
      <c r="A2" s="1" t="s">
        <v>15</v>
      </c>
      <c r="B2" s="1" t="s">
        <v>16</v>
      </c>
      <c r="C2" s="1" t="s">
        <v>17</v>
      </c>
      <c r="D2" s="1" t="s">
        <v>15</v>
      </c>
      <c r="E2" s="1" t="s">
        <v>15</v>
      </c>
      <c r="F2" s="1" t="s">
        <v>18</v>
      </c>
      <c r="G2" s="2">
        <v>1.008</v>
      </c>
      <c r="H2" s="2">
        <v>8988</v>
      </c>
      <c r="I2" s="2">
        <v>14.01</v>
      </c>
      <c r="J2" s="2">
        <v>20.28</v>
      </c>
      <c r="K2" s="2" t="str" cm="1">
        <f t="array" ref="K2">_xlfn.IFS($I2&gt;293, "Solid", $J2&lt;293, "Gas", TRUE, "Liquid")</f>
        <v>Gas</v>
      </c>
      <c r="L2" s="2">
        <v>14.304</v>
      </c>
      <c r="M2" s="2">
        <v>2.2000000000000002</v>
      </c>
      <c r="N2" s="2">
        <v>1400</v>
      </c>
      <c r="O2" s="1" t="s">
        <v>19</v>
      </c>
      <c r="P2" s="1" t="s">
        <v>20</v>
      </c>
    </row>
    <row r="3" spans="1:16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18</v>
      </c>
      <c r="G3" s="2">
        <v>4.0026000000000002</v>
      </c>
      <c r="H3" s="2">
        <v>1.785E-4</v>
      </c>
      <c r="I3" s="2">
        <v>0</v>
      </c>
      <c r="J3" s="2">
        <v>4.22</v>
      </c>
      <c r="K3" s="2" t="str" cm="1">
        <f t="array" ref="K3">_xlfn.IFS($I3&gt;293, "Solid", $J3&lt;293, "Gas", TRUE, "Liquid")</f>
        <v>Gas</v>
      </c>
      <c r="L3" s="2">
        <v>5.1929999999999996</v>
      </c>
      <c r="M3" s="2">
        <v>0</v>
      </c>
      <c r="N3" s="2">
        <v>8.0000000000000002E-3</v>
      </c>
      <c r="O3" s="1" t="s">
        <v>19</v>
      </c>
      <c r="P3" s="1" t="s">
        <v>20</v>
      </c>
    </row>
    <row r="4" spans="1:16" x14ac:dyDescent="0.35">
      <c r="A4" s="1" t="s">
        <v>25</v>
      </c>
      <c r="B4" s="1" t="s">
        <v>26</v>
      </c>
      <c r="C4" s="1" t="s">
        <v>27</v>
      </c>
      <c r="D4" s="1" t="s">
        <v>15</v>
      </c>
      <c r="E4" s="1" t="s">
        <v>21</v>
      </c>
      <c r="F4" s="1" t="s">
        <v>18</v>
      </c>
      <c r="G4" s="2">
        <v>6.94</v>
      </c>
      <c r="H4" s="2">
        <v>0.53400000000000003</v>
      </c>
      <c r="I4" s="2">
        <v>453.69</v>
      </c>
      <c r="J4" s="2">
        <v>1560</v>
      </c>
      <c r="K4" s="2" t="str" cm="1">
        <f t="array" ref="K4">_xlfn.IFS($I4&gt;293, "Solid", $J4&lt;293, "Gas", TRUE, "Liquid")</f>
        <v>Solid</v>
      </c>
      <c r="L4" s="2">
        <v>3.5819999999999999</v>
      </c>
      <c r="M4" s="2">
        <v>0.98</v>
      </c>
      <c r="N4" s="2">
        <v>20</v>
      </c>
      <c r="O4" s="1" t="s">
        <v>19</v>
      </c>
      <c r="P4" s="1" t="s">
        <v>29</v>
      </c>
    </row>
    <row r="5" spans="1:16" x14ac:dyDescent="0.35">
      <c r="A5" s="1" t="s">
        <v>30</v>
      </c>
      <c r="B5" s="1" t="s">
        <v>31</v>
      </c>
      <c r="C5" s="1" t="s">
        <v>32</v>
      </c>
      <c r="D5" s="1" t="s">
        <v>21</v>
      </c>
      <c r="E5" s="1" t="s">
        <v>21</v>
      </c>
      <c r="F5" s="1" t="s">
        <v>18</v>
      </c>
      <c r="G5" s="2">
        <v>9.0122</v>
      </c>
      <c r="H5" s="2">
        <v>1.85</v>
      </c>
      <c r="I5" s="2">
        <v>1560</v>
      </c>
      <c r="J5" s="2">
        <v>2742</v>
      </c>
      <c r="K5" s="2" t="str" cm="1">
        <f t="array" ref="K5">_xlfn.IFS($I5&gt;293, "Solid", $J5&lt;293, "Gas", TRUE, "Liquid")</f>
        <v>Solid</v>
      </c>
      <c r="L5" s="2">
        <v>1.825</v>
      </c>
      <c r="M5" s="2">
        <v>1.57</v>
      </c>
      <c r="N5" s="2">
        <v>2.8</v>
      </c>
      <c r="O5" s="1" t="s">
        <v>19</v>
      </c>
      <c r="P5" s="1" t="s">
        <v>29</v>
      </c>
    </row>
    <row r="6" spans="1:16" x14ac:dyDescent="0.35">
      <c r="A6" s="1" t="s">
        <v>33</v>
      </c>
      <c r="B6" s="1" t="s">
        <v>34</v>
      </c>
      <c r="C6" s="1" t="s">
        <v>35</v>
      </c>
      <c r="D6" s="1" t="s">
        <v>36</v>
      </c>
      <c r="E6" s="1" t="s">
        <v>21</v>
      </c>
      <c r="F6" s="1" t="s">
        <v>37</v>
      </c>
      <c r="G6" s="2">
        <v>10.81</v>
      </c>
      <c r="H6" s="2">
        <v>2.34</v>
      </c>
      <c r="I6" s="2">
        <v>2349</v>
      </c>
      <c r="J6" s="2">
        <v>4200</v>
      </c>
      <c r="K6" s="2" t="str" cm="1">
        <f t="array" ref="K6">_xlfn.IFS($I6&gt;293, "Solid", $J6&lt;293, "Gas", TRUE, "Liquid")</f>
        <v>Solid</v>
      </c>
      <c r="L6" s="2">
        <v>1.026</v>
      </c>
      <c r="M6" s="2">
        <v>2.04</v>
      </c>
      <c r="N6" s="2">
        <v>10</v>
      </c>
      <c r="O6" s="1" t="s">
        <v>19</v>
      </c>
      <c r="P6" s="1" t="s">
        <v>29</v>
      </c>
    </row>
    <row r="7" spans="1:16" x14ac:dyDescent="0.35">
      <c r="A7" s="1" t="s">
        <v>39</v>
      </c>
      <c r="B7" s="1" t="s">
        <v>40</v>
      </c>
      <c r="C7" s="1" t="s">
        <v>41</v>
      </c>
      <c r="D7" s="1" t="s">
        <v>42</v>
      </c>
      <c r="E7" s="1" t="s">
        <v>21</v>
      </c>
      <c r="F7" s="1" t="s">
        <v>37</v>
      </c>
      <c r="G7" s="2">
        <v>12.010999999999999</v>
      </c>
      <c r="H7" s="2">
        <v>2.2669999999999999</v>
      </c>
      <c r="I7" s="2" t="s">
        <v>43</v>
      </c>
      <c r="J7" s="2">
        <v>4300</v>
      </c>
      <c r="K7" s="2" t="str" cm="1">
        <f t="array" ref="K7">_xlfn.IFS($I7&gt;293, "Solid", $J7&lt;293, "Gas", TRUE, "Liquid")</f>
        <v>Solid</v>
      </c>
      <c r="L7" s="2">
        <v>0.70899999999999996</v>
      </c>
      <c r="M7" s="2">
        <v>2.5499999999999998</v>
      </c>
      <c r="N7" s="2">
        <v>200</v>
      </c>
      <c r="O7" s="1" t="s">
        <v>19</v>
      </c>
      <c r="P7" s="1" t="s">
        <v>29</v>
      </c>
    </row>
    <row r="8" spans="1:16" x14ac:dyDescent="0.35">
      <c r="A8" s="1" t="s">
        <v>44</v>
      </c>
      <c r="B8" s="1" t="s">
        <v>45</v>
      </c>
      <c r="C8" s="1" t="s">
        <v>46</v>
      </c>
      <c r="D8" s="1" t="s">
        <v>47</v>
      </c>
      <c r="E8" s="1" t="s">
        <v>21</v>
      </c>
      <c r="F8" s="1" t="s">
        <v>37</v>
      </c>
      <c r="G8" s="2">
        <v>14.007</v>
      </c>
      <c r="H8" s="2">
        <v>1.2505999999999999E-3</v>
      </c>
      <c r="I8" s="2">
        <v>63.15</v>
      </c>
      <c r="J8" s="2">
        <v>77.36</v>
      </c>
      <c r="K8" s="2" t="str" cm="1">
        <f t="array" ref="K8">_xlfn.IFS($I8&gt;293, "Solid", $J8&lt;293, "Gas", TRUE, "Liquid")</f>
        <v>Gas</v>
      </c>
      <c r="L8" s="2">
        <v>1.04</v>
      </c>
      <c r="M8" s="2">
        <v>3.04</v>
      </c>
      <c r="N8" s="2">
        <v>19</v>
      </c>
      <c r="O8" s="1" t="s">
        <v>19</v>
      </c>
      <c r="P8" s="1" t="s">
        <v>20</v>
      </c>
    </row>
    <row r="9" spans="1:16" x14ac:dyDescent="0.35">
      <c r="A9" s="1" t="s">
        <v>49</v>
      </c>
      <c r="B9" s="1" t="s">
        <v>50</v>
      </c>
      <c r="C9" s="1" t="s">
        <v>51</v>
      </c>
      <c r="D9" s="1" t="s">
        <v>52</v>
      </c>
      <c r="E9" s="1" t="s">
        <v>21</v>
      </c>
      <c r="F9" s="1" t="s">
        <v>37</v>
      </c>
      <c r="G9" s="2">
        <v>15.999000000000001</v>
      </c>
      <c r="H9" s="2">
        <v>1.4289999999999999E-3</v>
      </c>
      <c r="I9" s="2">
        <v>54.36</v>
      </c>
      <c r="J9" s="2">
        <v>90.2</v>
      </c>
      <c r="K9" s="2" t="str" cm="1">
        <f t="array" ref="K9">_xlfn.IFS($I9&gt;293, "Solid", $J9&lt;293, "Gas", TRUE, "Liquid")</f>
        <v>Gas</v>
      </c>
      <c r="L9" s="2">
        <v>0.91800000000000004</v>
      </c>
      <c r="M9" s="2">
        <v>3.44</v>
      </c>
      <c r="N9" s="2">
        <v>461000</v>
      </c>
      <c r="O9" s="1" t="s">
        <v>19</v>
      </c>
      <c r="P9" s="1" t="s">
        <v>20</v>
      </c>
    </row>
    <row r="10" spans="1:16" x14ac:dyDescent="0.35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21</v>
      </c>
      <c r="F10" s="1" t="s">
        <v>37</v>
      </c>
      <c r="G10" s="2">
        <v>18.998000000000001</v>
      </c>
      <c r="H10" s="2">
        <v>1.696E-3</v>
      </c>
      <c r="I10" s="2">
        <v>53.53</v>
      </c>
      <c r="J10" s="2">
        <v>85.03</v>
      </c>
      <c r="K10" s="2" t="str" cm="1">
        <f t="array" ref="K10">_xlfn.IFS($I10&gt;293, "Solid", $J10&lt;293, "Gas", TRUE, "Liquid")</f>
        <v>Gas</v>
      </c>
      <c r="L10" s="2">
        <v>0.82399999999999995</v>
      </c>
      <c r="M10" s="2">
        <v>3.98</v>
      </c>
      <c r="N10" s="2">
        <v>585</v>
      </c>
      <c r="O10" s="1" t="s">
        <v>19</v>
      </c>
      <c r="P10" s="1" t="s">
        <v>20</v>
      </c>
    </row>
    <row r="11" spans="1:16" x14ac:dyDescent="0.35">
      <c r="A11" s="1" t="s">
        <v>38</v>
      </c>
      <c r="B11" s="1" t="s">
        <v>57</v>
      </c>
      <c r="C11" s="1" t="s">
        <v>58</v>
      </c>
      <c r="D11" s="1" t="s">
        <v>24</v>
      </c>
      <c r="E11" s="1" t="s">
        <v>21</v>
      </c>
      <c r="F11" s="1" t="s">
        <v>37</v>
      </c>
      <c r="G11" s="2">
        <v>20.18</v>
      </c>
      <c r="H11" s="2">
        <v>9.0019999999999998E-4</v>
      </c>
      <c r="I11" s="2">
        <v>24.56</v>
      </c>
      <c r="J11" s="2">
        <v>27.07</v>
      </c>
      <c r="K11" s="2" t="str" cm="1">
        <f t="array" ref="K11">_xlfn.IFS($I11&gt;293, "Solid", $J11&lt;293, "Gas", TRUE, "Liquid")</f>
        <v>Gas</v>
      </c>
      <c r="L11" s="2">
        <v>1.03</v>
      </c>
      <c r="M11" s="2">
        <v>0</v>
      </c>
      <c r="N11" s="2">
        <v>5.0000000000000001E-3</v>
      </c>
      <c r="O11" s="1" t="s">
        <v>19</v>
      </c>
      <c r="P11" s="1" t="s">
        <v>20</v>
      </c>
    </row>
    <row r="12" spans="1:16" x14ac:dyDescent="0.35">
      <c r="A12" s="1" t="s">
        <v>59</v>
      </c>
      <c r="B12" s="1" t="s">
        <v>60</v>
      </c>
      <c r="C12" s="1" t="s">
        <v>61</v>
      </c>
      <c r="D12" s="1" t="s">
        <v>15</v>
      </c>
      <c r="E12" s="1" t="s">
        <v>25</v>
      </c>
      <c r="F12" s="1" t="s">
        <v>18</v>
      </c>
      <c r="G12" s="2">
        <v>22.99</v>
      </c>
      <c r="H12" s="2">
        <v>0.96799999999999997</v>
      </c>
      <c r="I12" s="2">
        <v>370.87</v>
      </c>
      <c r="J12" s="2">
        <v>1156</v>
      </c>
      <c r="K12" s="2" t="str" cm="1">
        <f t="array" ref="K12">_xlfn.IFS($I12&gt;293, "Solid", $J12&lt;293, "Gas", TRUE, "Liquid")</f>
        <v>Solid</v>
      </c>
      <c r="L12" s="2">
        <v>1.228</v>
      </c>
      <c r="M12" s="2">
        <v>0.93</v>
      </c>
      <c r="N12" s="2">
        <v>23600</v>
      </c>
      <c r="O12" s="1" t="s">
        <v>19</v>
      </c>
      <c r="P12" s="1" t="s">
        <v>29</v>
      </c>
    </row>
    <row r="13" spans="1:16" x14ac:dyDescent="0.35">
      <c r="A13" s="1" t="s">
        <v>62</v>
      </c>
      <c r="B13" s="1" t="s">
        <v>63</v>
      </c>
      <c r="C13" s="1" t="s">
        <v>64</v>
      </c>
      <c r="D13" s="1" t="s">
        <v>21</v>
      </c>
      <c r="E13" s="1" t="s">
        <v>25</v>
      </c>
      <c r="F13" s="1" t="s">
        <v>18</v>
      </c>
      <c r="G13" s="2">
        <v>24.305</v>
      </c>
      <c r="H13" s="2">
        <v>1.738</v>
      </c>
      <c r="I13" s="2">
        <v>923</v>
      </c>
      <c r="J13" s="2">
        <v>1363</v>
      </c>
      <c r="K13" s="2" t="str" cm="1">
        <f t="array" ref="K13">_xlfn.IFS($I13&gt;293, "Solid", $J13&lt;293, "Gas", TRUE, "Liquid")</f>
        <v>Solid</v>
      </c>
      <c r="L13" s="2">
        <v>1.0229999999999999</v>
      </c>
      <c r="M13" s="2">
        <v>1.31</v>
      </c>
      <c r="N13" s="2">
        <v>23300</v>
      </c>
      <c r="O13" s="1" t="s">
        <v>19</v>
      </c>
      <c r="P13" s="1" t="s">
        <v>29</v>
      </c>
    </row>
    <row r="14" spans="1:16" x14ac:dyDescent="0.35">
      <c r="A14" s="1" t="s">
        <v>36</v>
      </c>
      <c r="B14" s="1" t="s">
        <v>65</v>
      </c>
      <c r="C14" s="1" t="s">
        <v>66</v>
      </c>
      <c r="D14" s="1" t="s">
        <v>36</v>
      </c>
      <c r="E14" s="1" t="s">
        <v>25</v>
      </c>
      <c r="F14" s="1" t="s">
        <v>37</v>
      </c>
      <c r="G14" s="2">
        <v>26.981999999999999</v>
      </c>
      <c r="H14" s="2">
        <v>2.7</v>
      </c>
      <c r="I14" s="2">
        <v>933.47</v>
      </c>
      <c r="J14" s="2">
        <v>2792</v>
      </c>
      <c r="K14" s="2" t="str" cm="1">
        <f t="array" ref="K14">_xlfn.IFS($I14&gt;293, "Solid", $J14&lt;293, "Gas", TRUE, "Liquid")</f>
        <v>Solid</v>
      </c>
      <c r="L14" s="2">
        <v>0.89700000000000002</v>
      </c>
      <c r="M14" s="2">
        <v>1.61</v>
      </c>
      <c r="N14" s="2">
        <v>82300</v>
      </c>
      <c r="O14" s="1" t="s">
        <v>19</v>
      </c>
      <c r="P14" s="1" t="s">
        <v>29</v>
      </c>
    </row>
    <row r="15" spans="1:16" x14ac:dyDescent="0.35">
      <c r="A15" s="1" t="s">
        <v>42</v>
      </c>
      <c r="B15" s="1" t="s">
        <v>67</v>
      </c>
      <c r="C15" s="1" t="s">
        <v>68</v>
      </c>
      <c r="D15" s="1" t="s">
        <v>42</v>
      </c>
      <c r="E15" s="1" t="s">
        <v>25</v>
      </c>
      <c r="F15" s="1" t="s">
        <v>37</v>
      </c>
      <c r="G15" s="2">
        <v>28.085000000000001</v>
      </c>
      <c r="H15" s="2">
        <v>2.3290000000000002</v>
      </c>
      <c r="I15" s="2">
        <v>1687</v>
      </c>
      <c r="J15" s="2">
        <v>3538</v>
      </c>
      <c r="K15" s="2" t="str" cm="1">
        <f t="array" ref="K15">_xlfn.IFS($I15&gt;293, "Solid", $J15&lt;293, "Gas", TRUE, "Liquid")</f>
        <v>Solid</v>
      </c>
      <c r="L15" s="2">
        <v>0.70499999999999996</v>
      </c>
      <c r="M15" s="2">
        <v>1.9</v>
      </c>
      <c r="N15" s="2">
        <v>282000</v>
      </c>
      <c r="O15" s="1" t="s">
        <v>19</v>
      </c>
      <c r="P15" s="1" t="s">
        <v>29</v>
      </c>
    </row>
    <row r="16" spans="1:16" x14ac:dyDescent="0.35">
      <c r="A16" s="1" t="s">
        <v>47</v>
      </c>
      <c r="B16" s="1" t="s">
        <v>69</v>
      </c>
      <c r="C16" s="1" t="s">
        <v>70</v>
      </c>
      <c r="D16" s="1" t="s">
        <v>47</v>
      </c>
      <c r="E16" s="1" t="s">
        <v>25</v>
      </c>
      <c r="F16" s="1" t="s">
        <v>37</v>
      </c>
      <c r="G16" s="2">
        <v>30.974</v>
      </c>
      <c r="H16" s="2">
        <v>1.823</v>
      </c>
      <c r="I16" s="2">
        <v>317.3</v>
      </c>
      <c r="J16" s="2">
        <v>550</v>
      </c>
      <c r="K16" s="2" t="str" cm="1">
        <f t="array" ref="K16">_xlfn.IFS($I16&gt;293, "Solid", $J16&lt;293, "Gas", TRUE, "Liquid")</f>
        <v>Solid</v>
      </c>
      <c r="L16" s="2">
        <v>0.76900000000000002</v>
      </c>
      <c r="M16" s="2">
        <v>2.19</v>
      </c>
      <c r="N16" s="2">
        <v>1050</v>
      </c>
      <c r="O16" s="1" t="s">
        <v>19</v>
      </c>
      <c r="P16" s="1" t="s">
        <v>29</v>
      </c>
    </row>
    <row r="17" spans="1:16" x14ac:dyDescent="0.35">
      <c r="A17" s="1" t="s">
        <v>52</v>
      </c>
      <c r="B17" s="1" t="s">
        <v>71</v>
      </c>
      <c r="C17" s="1" t="s">
        <v>72</v>
      </c>
      <c r="D17" s="1" t="s">
        <v>52</v>
      </c>
      <c r="E17" s="1" t="s">
        <v>25</v>
      </c>
      <c r="F17" s="1" t="s">
        <v>37</v>
      </c>
      <c r="G17" s="2">
        <v>32.06</v>
      </c>
      <c r="H17" s="2">
        <v>2.0699999999999998</v>
      </c>
      <c r="I17" s="2">
        <v>388.36</v>
      </c>
      <c r="J17" s="2">
        <v>717.87</v>
      </c>
      <c r="K17" s="2" t="str" cm="1">
        <f t="array" ref="K17">_xlfn.IFS($I17&gt;293, "Solid", $J17&lt;293, "Gas", TRUE, "Liquid")</f>
        <v>Solid</v>
      </c>
      <c r="L17" s="2">
        <v>0.71</v>
      </c>
      <c r="M17" s="2">
        <v>2.58</v>
      </c>
      <c r="N17" s="2">
        <v>350</v>
      </c>
      <c r="O17" s="1" t="s">
        <v>19</v>
      </c>
      <c r="P17" s="1" t="s">
        <v>29</v>
      </c>
    </row>
    <row r="18" spans="1:16" x14ac:dyDescent="0.35">
      <c r="A18" s="1" t="s">
        <v>56</v>
      </c>
      <c r="B18" s="1" t="s">
        <v>73</v>
      </c>
      <c r="C18" s="1" t="s">
        <v>74</v>
      </c>
      <c r="D18" s="1" t="s">
        <v>56</v>
      </c>
      <c r="E18" s="1" t="s">
        <v>25</v>
      </c>
      <c r="F18" s="1" t="s">
        <v>37</v>
      </c>
      <c r="G18" s="2">
        <v>35.450000000000003</v>
      </c>
      <c r="H18" s="2">
        <v>3.2000000000000002E-3</v>
      </c>
      <c r="I18" s="2">
        <v>171.6</v>
      </c>
      <c r="J18" s="2">
        <v>239.11</v>
      </c>
      <c r="K18" s="2" t="str" cm="1">
        <f t="array" ref="K18">_xlfn.IFS($I18&gt;293, "Solid", $J18&lt;293, "Gas", TRUE, "Liquid")</f>
        <v>Gas</v>
      </c>
      <c r="L18" s="2">
        <v>0.47899999999999998</v>
      </c>
      <c r="M18" s="2">
        <v>3.16</v>
      </c>
      <c r="N18" s="2">
        <v>145</v>
      </c>
      <c r="O18" s="1" t="s">
        <v>19</v>
      </c>
      <c r="P18" s="1" t="s">
        <v>20</v>
      </c>
    </row>
    <row r="19" spans="1:16" x14ac:dyDescent="0.35">
      <c r="A19" s="1" t="s">
        <v>24</v>
      </c>
      <c r="B19" s="1" t="s">
        <v>75</v>
      </c>
      <c r="C19" s="1" t="s">
        <v>76</v>
      </c>
      <c r="D19" s="1" t="s">
        <v>24</v>
      </c>
      <c r="E19" s="1" t="s">
        <v>25</v>
      </c>
      <c r="F19" s="1" t="s">
        <v>37</v>
      </c>
      <c r="G19" s="2">
        <v>39.950000000000003</v>
      </c>
      <c r="H19" s="2">
        <v>1.784E-3</v>
      </c>
      <c r="I19" s="2">
        <v>83.8</v>
      </c>
      <c r="J19" s="2">
        <v>87.3</v>
      </c>
      <c r="K19" s="2" t="str" cm="1">
        <f t="array" ref="K19">_xlfn.IFS($I19&gt;293, "Solid", $J19&lt;293, "Gas", TRUE, "Liquid")</f>
        <v>Gas</v>
      </c>
      <c r="L19" s="2">
        <v>0.52</v>
      </c>
      <c r="M19" s="2">
        <v>0</v>
      </c>
      <c r="N19" s="2">
        <v>3.5</v>
      </c>
      <c r="O19" s="1" t="s">
        <v>19</v>
      </c>
      <c r="P19" s="1" t="s">
        <v>20</v>
      </c>
    </row>
    <row r="20" spans="1:16" x14ac:dyDescent="0.35">
      <c r="A20" s="1" t="s">
        <v>48</v>
      </c>
      <c r="B20" s="1" t="s">
        <v>77</v>
      </c>
      <c r="C20" s="1" t="s">
        <v>78</v>
      </c>
      <c r="D20" s="1" t="s">
        <v>15</v>
      </c>
      <c r="E20" s="1" t="s">
        <v>30</v>
      </c>
      <c r="F20" s="1" t="s">
        <v>18</v>
      </c>
      <c r="G20" s="2">
        <v>39.097999999999999</v>
      </c>
      <c r="H20" s="2">
        <v>0.89</v>
      </c>
      <c r="I20" s="2">
        <v>336.53</v>
      </c>
      <c r="J20" s="2">
        <v>1032</v>
      </c>
      <c r="K20" s="2" t="str" cm="1">
        <f t="array" ref="K20">_xlfn.IFS($I20&gt;293, "Solid", $J20&lt;293, "Gas", TRUE, "Liquid")</f>
        <v>Solid</v>
      </c>
      <c r="L20" s="2">
        <v>0.75700000000000001</v>
      </c>
      <c r="M20" s="2">
        <v>0.82</v>
      </c>
      <c r="N20" s="2">
        <v>20900</v>
      </c>
      <c r="O20" s="1" t="s">
        <v>19</v>
      </c>
      <c r="P20" s="1" t="s">
        <v>29</v>
      </c>
    </row>
    <row r="21" spans="1:16" x14ac:dyDescent="0.35">
      <c r="A21" s="1" t="s">
        <v>28</v>
      </c>
      <c r="B21" s="1" t="s">
        <v>79</v>
      </c>
      <c r="C21" s="1" t="s">
        <v>80</v>
      </c>
      <c r="D21" s="1" t="s">
        <v>21</v>
      </c>
      <c r="E21" s="1" t="s">
        <v>30</v>
      </c>
      <c r="F21" s="1" t="s">
        <v>18</v>
      </c>
      <c r="G21" s="2">
        <v>40.078000000000003</v>
      </c>
      <c r="H21" s="2">
        <v>1.55</v>
      </c>
      <c r="I21" s="2">
        <v>1115</v>
      </c>
      <c r="J21" s="2">
        <v>1757</v>
      </c>
      <c r="K21" s="2" t="str" cm="1">
        <f t="array" ref="K21">_xlfn.IFS($I21&gt;293, "Solid", $J21&lt;293, "Gas", TRUE, "Liquid")</f>
        <v>Solid</v>
      </c>
      <c r="L21" s="2">
        <v>0.64700000000000002</v>
      </c>
      <c r="M21" s="2">
        <v>1</v>
      </c>
      <c r="N21" s="2">
        <v>41500</v>
      </c>
      <c r="O21" s="1" t="s">
        <v>19</v>
      </c>
      <c r="P21" s="1" t="s">
        <v>29</v>
      </c>
    </row>
    <row r="22" spans="1:16" x14ac:dyDescent="0.35">
      <c r="A22" s="1" t="s">
        <v>81</v>
      </c>
      <c r="B22" s="1" t="s">
        <v>82</v>
      </c>
      <c r="C22" s="1" t="s">
        <v>83</v>
      </c>
      <c r="D22" s="1" t="s">
        <v>25</v>
      </c>
      <c r="E22" s="1" t="s">
        <v>30</v>
      </c>
      <c r="F22" s="1" t="s">
        <v>84</v>
      </c>
      <c r="G22" s="2">
        <v>44.956000000000003</v>
      </c>
      <c r="H22" s="2">
        <v>2.9849999999999999</v>
      </c>
      <c r="I22" s="2">
        <v>1814</v>
      </c>
      <c r="J22" s="2">
        <v>3109</v>
      </c>
      <c r="K22" s="2" t="str" cm="1">
        <f t="array" ref="K22">_xlfn.IFS($I22&gt;293, "Solid", $J22&lt;293, "Gas", TRUE, "Liquid")</f>
        <v>Solid</v>
      </c>
      <c r="L22" s="2">
        <v>0.56799999999999995</v>
      </c>
      <c r="M22" s="2">
        <v>1.36</v>
      </c>
      <c r="N22" s="2">
        <v>22</v>
      </c>
      <c r="O22" s="1" t="s">
        <v>19</v>
      </c>
      <c r="P22" s="1" t="s">
        <v>29</v>
      </c>
    </row>
    <row r="23" spans="1:16" x14ac:dyDescent="0.35">
      <c r="A23" s="1" t="s">
        <v>85</v>
      </c>
      <c r="B23" s="1" t="s">
        <v>86</v>
      </c>
      <c r="C23" s="1" t="s">
        <v>87</v>
      </c>
      <c r="D23" s="1" t="s">
        <v>30</v>
      </c>
      <c r="E23" s="1" t="s">
        <v>30</v>
      </c>
      <c r="F23" s="1" t="s">
        <v>84</v>
      </c>
      <c r="G23" s="2">
        <v>47.866999999999997</v>
      </c>
      <c r="H23" s="2">
        <v>4.5060000000000002</v>
      </c>
      <c r="I23" s="2">
        <v>1941</v>
      </c>
      <c r="J23" s="2">
        <v>3560</v>
      </c>
      <c r="K23" s="2" t="str" cm="1">
        <f t="array" ref="K23">_xlfn.IFS($I23&gt;293, "Solid", $J23&lt;293, "Gas", TRUE, "Liquid")</f>
        <v>Solid</v>
      </c>
      <c r="L23" s="2">
        <v>0.52300000000000002</v>
      </c>
      <c r="M23" s="2">
        <v>1.54</v>
      </c>
      <c r="N23" s="2">
        <v>5650</v>
      </c>
      <c r="O23" s="1" t="s">
        <v>19</v>
      </c>
      <c r="P23" s="1" t="s">
        <v>29</v>
      </c>
    </row>
    <row r="24" spans="1:16" x14ac:dyDescent="0.35">
      <c r="A24" s="1" t="s">
        <v>88</v>
      </c>
      <c r="B24" s="1" t="s">
        <v>89</v>
      </c>
      <c r="C24" s="1" t="s">
        <v>90</v>
      </c>
      <c r="D24" s="1" t="s">
        <v>33</v>
      </c>
      <c r="E24" s="1" t="s">
        <v>30</v>
      </c>
      <c r="F24" s="1" t="s">
        <v>84</v>
      </c>
      <c r="G24" s="2">
        <v>50.942</v>
      </c>
      <c r="H24" s="2">
        <v>6.11</v>
      </c>
      <c r="I24" s="2">
        <v>2183</v>
      </c>
      <c r="J24" s="2">
        <v>3680</v>
      </c>
      <c r="K24" s="2" t="str" cm="1">
        <f t="array" ref="K24">_xlfn.IFS($I24&gt;293, "Solid", $J24&lt;293, "Gas", TRUE, "Liquid")</f>
        <v>Solid</v>
      </c>
      <c r="L24" s="2">
        <v>0.48899999999999999</v>
      </c>
      <c r="M24" s="2">
        <v>1.63</v>
      </c>
      <c r="N24" s="2">
        <v>120</v>
      </c>
      <c r="O24" s="1" t="s">
        <v>19</v>
      </c>
      <c r="P24" s="1" t="s">
        <v>29</v>
      </c>
    </row>
    <row r="25" spans="1:16" x14ac:dyDescent="0.35">
      <c r="A25" s="1" t="s">
        <v>91</v>
      </c>
      <c r="B25" s="1" t="s">
        <v>92</v>
      </c>
      <c r="C25" s="1" t="s">
        <v>93</v>
      </c>
      <c r="D25" s="1" t="s">
        <v>39</v>
      </c>
      <c r="E25" s="1" t="s">
        <v>30</v>
      </c>
      <c r="F25" s="1" t="s">
        <v>84</v>
      </c>
      <c r="G25" s="2">
        <v>51.996000000000002</v>
      </c>
      <c r="H25" s="2">
        <v>7.15</v>
      </c>
      <c r="I25" s="2">
        <v>2180</v>
      </c>
      <c r="J25" s="2">
        <v>2944</v>
      </c>
      <c r="K25" s="2" t="str" cm="1">
        <f t="array" ref="K25">_xlfn.IFS($I25&gt;293, "Solid", $J25&lt;293, "Gas", TRUE, "Liquid")</f>
        <v>Solid</v>
      </c>
      <c r="L25" s="2">
        <v>0.44900000000000001</v>
      </c>
      <c r="M25" s="2">
        <v>1.66</v>
      </c>
      <c r="N25" s="2">
        <v>102</v>
      </c>
      <c r="O25" s="1" t="s">
        <v>19</v>
      </c>
      <c r="P25" s="1" t="s">
        <v>29</v>
      </c>
    </row>
    <row r="26" spans="1:16" x14ac:dyDescent="0.35">
      <c r="A26" s="1" t="s">
        <v>95</v>
      </c>
      <c r="B26" s="1" t="s">
        <v>96</v>
      </c>
      <c r="C26" s="1" t="s">
        <v>97</v>
      </c>
      <c r="D26" s="1" t="s">
        <v>44</v>
      </c>
      <c r="E26" s="1" t="s">
        <v>30</v>
      </c>
      <c r="F26" s="1" t="s">
        <v>84</v>
      </c>
      <c r="G26" s="2">
        <v>54.938000000000002</v>
      </c>
      <c r="H26" s="2">
        <v>7.21</v>
      </c>
      <c r="I26" s="2">
        <v>1519</v>
      </c>
      <c r="J26" s="2">
        <v>2334</v>
      </c>
      <c r="K26" s="2" t="str" cm="1">
        <f t="array" ref="K26">_xlfn.IFS($I26&gt;293, "Solid", $J26&lt;293, "Gas", TRUE, "Liquid")</f>
        <v>Solid</v>
      </c>
      <c r="L26" s="2">
        <v>0.47899999999999998</v>
      </c>
      <c r="M26" s="2">
        <v>1.55</v>
      </c>
      <c r="N26" s="2">
        <v>950</v>
      </c>
      <c r="O26" s="1" t="s">
        <v>19</v>
      </c>
      <c r="P26" s="1" t="s">
        <v>29</v>
      </c>
    </row>
    <row r="27" spans="1:16" x14ac:dyDescent="0.35">
      <c r="A27" s="1" t="s">
        <v>98</v>
      </c>
      <c r="B27" s="1" t="s">
        <v>99</v>
      </c>
      <c r="C27" s="1" t="s">
        <v>100</v>
      </c>
      <c r="D27" s="1" t="s">
        <v>49</v>
      </c>
      <c r="E27" s="1" t="s">
        <v>30</v>
      </c>
      <c r="F27" s="1" t="s">
        <v>84</v>
      </c>
      <c r="G27" s="2">
        <v>55.844999999999999</v>
      </c>
      <c r="H27" s="2">
        <v>7.8739999999999997</v>
      </c>
      <c r="I27" s="2">
        <v>1811</v>
      </c>
      <c r="J27" s="2">
        <v>3134</v>
      </c>
      <c r="K27" s="2" t="str" cm="1">
        <f t="array" ref="K27">_xlfn.IFS($I27&gt;293, "Solid", $J27&lt;293, "Gas", TRUE, "Liquid")</f>
        <v>Solid</v>
      </c>
      <c r="L27" s="2">
        <v>0.44900000000000001</v>
      </c>
      <c r="M27" s="2">
        <v>1.83</v>
      </c>
      <c r="N27" s="2">
        <v>56300</v>
      </c>
      <c r="O27" s="1" t="s">
        <v>19</v>
      </c>
      <c r="P27" s="1" t="s">
        <v>29</v>
      </c>
    </row>
    <row r="28" spans="1:16" x14ac:dyDescent="0.35">
      <c r="A28" s="1" t="s">
        <v>101</v>
      </c>
      <c r="B28" s="1" t="s">
        <v>102</v>
      </c>
      <c r="C28" s="1" t="s">
        <v>103</v>
      </c>
      <c r="D28" s="1" t="s">
        <v>53</v>
      </c>
      <c r="E28" s="1" t="s">
        <v>30</v>
      </c>
      <c r="F28" s="1" t="s">
        <v>84</v>
      </c>
      <c r="G28" s="2">
        <v>58.933</v>
      </c>
      <c r="H28" s="2">
        <v>8.9</v>
      </c>
      <c r="I28" s="2">
        <v>1768</v>
      </c>
      <c r="J28" s="2">
        <v>3200</v>
      </c>
      <c r="K28" s="2" t="str" cm="1">
        <f t="array" ref="K28">_xlfn.IFS($I28&gt;293, "Solid", $J28&lt;293, "Gas", TRUE, "Liquid")</f>
        <v>Solid</v>
      </c>
      <c r="L28" s="2">
        <v>0.42099999999999999</v>
      </c>
      <c r="M28" s="2">
        <v>1.88</v>
      </c>
      <c r="N28" s="2">
        <v>25</v>
      </c>
      <c r="O28" s="1" t="s">
        <v>19</v>
      </c>
      <c r="P28" s="1" t="s">
        <v>29</v>
      </c>
    </row>
    <row r="29" spans="1:16" x14ac:dyDescent="0.35">
      <c r="A29" s="1" t="s">
        <v>104</v>
      </c>
      <c r="B29" s="1" t="s">
        <v>105</v>
      </c>
      <c r="C29" s="1" t="s">
        <v>106</v>
      </c>
      <c r="D29" s="1" t="s">
        <v>38</v>
      </c>
      <c r="E29" s="1" t="s">
        <v>30</v>
      </c>
      <c r="F29" s="1" t="s">
        <v>84</v>
      </c>
      <c r="G29" s="2">
        <v>58.692999999999998</v>
      </c>
      <c r="H29" s="2">
        <v>8.9079999999999995</v>
      </c>
      <c r="I29" s="2">
        <v>1728</v>
      </c>
      <c r="J29" s="2">
        <v>3186</v>
      </c>
      <c r="K29" s="2" t="str" cm="1">
        <f t="array" ref="K29">_xlfn.IFS($I29&gt;293, "Solid", $J29&lt;293, "Gas", TRUE, "Liquid")</f>
        <v>Solid</v>
      </c>
      <c r="L29" s="2">
        <v>0.44400000000000001</v>
      </c>
      <c r="M29" s="2">
        <v>1.91</v>
      </c>
      <c r="N29" s="2">
        <v>84</v>
      </c>
      <c r="O29" s="1" t="s">
        <v>19</v>
      </c>
      <c r="P29" s="1" t="s">
        <v>29</v>
      </c>
    </row>
    <row r="30" spans="1:16" x14ac:dyDescent="0.35">
      <c r="A30" s="1" t="s">
        <v>108</v>
      </c>
      <c r="B30" s="1" t="s">
        <v>109</v>
      </c>
      <c r="C30" s="1" t="s">
        <v>110</v>
      </c>
      <c r="D30" s="1" t="s">
        <v>59</v>
      </c>
      <c r="E30" s="1" t="s">
        <v>30</v>
      </c>
      <c r="F30" s="1" t="s">
        <v>84</v>
      </c>
      <c r="G30" s="2">
        <v>63.545999999999999</v>
      </c>
      <c r="H30" s="2">
        <v>8.9600000000000009</v>
      </c>
      <c r="I30" s="2">
        <v>1357.77</v>
      </c>
      <c r="J30" s="2">
        <v>2835</v>
      </c>
      <c r="K30" s="2" t="str" cm="1">
        <f t="array" ref="K30">_xlfn.IFS($I30&gt;293, "Solid", $J30&lt;293, "Gas", TRUE, "Liquid")</f>
        <v>Solid</v>
      </c>
      <c r="L30" s="2">
        <v>0.38500000000000001</v>
      </c>
      <c r="M30" s="2">
        <v>1.9</v>
      </c>
      <c r="N30" s="2">
        <v>60</v>
      </c>
      <c r="O30" s="1" t="s">
        <v>19</v>
      </c>
      <c r="P30" s="1" t="s">
        <v>29</v>
      </c>
    </row>
    <row r="31" spans="1:16" x14ac:dyDescent="0.35">
      <c r="A31" s="1" t="s">
        <v>112</v>
      </c>
      <c r="B31" s="1" t="s">
        <v>113</v>
      </c>
      <c r="C31" s="1" t="s">
        <v>114</v>
      </c>
      <c r="D31" s="1" t="s">
        <v>62</v>
      </c>
      <c r="E31" s="1" t="s">
        <v>30</v>
      </c>
      <c r="F31" s="1" t="s">
        <v>84</v>
      </c>
      <c r="G31" s="2">
        <v>65.38</v>
      </c>
      <c r="H31" s="2">
        <v>7.14</v>
      </c>
      <c r="I31" s="2">
        <v>692.88</v>
      </c>
      <c r="J31" s="2">
        <v>1180</v>
      </c>
      <c r="K31" s="2" t="str" cm="1">
        <f t="array" ref="K31">_xlfn.IFS($I31&gt;293, "Solid", $J31&lt;293, "Gas", TRUE, "Liquid")</f>
        <v>Solid</v>
      </c>
      <c r="L31" s="2">
        <v>0.38800000000000001</v>
      </c>
      <c r="M31" s="2">
        <v>1.65</v>
      </c>
      <c r="N31" s="2">
        <v>70</v>
      </c>
      <c r="O31" s="1" t="s">
        <v>19</v>
      </c>
      <c r="P31" s="1" t="s">
        <v>29</v>
      </c>
    </row>
    <row r="32" spans="1:16" x14ac:dyDescent="0.35">
      <c r="A32" s="1" t="s">
        <v>116</v>
      </c>
      <c r="B32" s="1" t="s">
        <v>117</v>
      </c>
      <c r="C32" s="1" t="s">
        <v>118</v>
      </c>
      <c r="D32" s="1" t="s">
        <v>36</v>
      </c>
      <c r="E32" s="1" t="s">
        <v>30</v>
      </c>
      <c r="F32" s="1" t="s">
        <v>37</v>
      </c>
      <c r="G32" s="2">
        <v>69.722999999999999</v>
      </c>
      <c r="H32" s="2">
        <v>5.91</v>
      </c>
      <c r="I32" s="2">
        <v>302.91460000000001</v>
      </c>
      <c r="J32" s="2">
        <v>2673</v>
      </c>
      <c r="K32" s="2" t="str" cm="1">
        <f t="array" ref="K32">_xlfn.IFS($I32&gt;293, "Solid", $J32&lt;293, "Gas", TRUE, "Liquid")</f>
        <v>Solid</v>
      </c>
      <c r="L32" s="2">
        <v>0.371</v>
      </c>
      <c r="M32" s="2">
        <v>1.81</v>
      </c>
      <c r="N32" s="2">
        <v>19</v>
      </c>
      <c r="O32" s="1" t="s">
        <v>19</v>
      </c>
      <c r="P32" s="1" t="s">
        <v>29</v>
      </c>
    </row>
    <row r="33" spans="1:16" x14ac:dyDescent="0.35">
      <c r="A33" s="1" t="s">
        <v>119</v>
      </c>
      <c r="B33" s="1" t="s">
        <v>120</v>
      </c>
      <c r="C33" s="1" t="s">
        <v>121</v>
      </c>
      <c r="D33" s="1" t="s">
        <v>42</v>
      </c>
      <c r="E33" s="1" t="s">
        <v>30</v>
      </c>
      <c r="F33" s="1" t="s">
        <v>37</v>
      </c>
      <c r="G33" s="2">
        <v>72.63</v>
      </c>
      <c r="H33" s="2">
        <v>5.3230000000000004</v>
      </c>
      <c r="I33" s="2">
        <v>1211.4000000000001</v>
      </c>
      <c r="J33" s="2">
        <v>3106</v>
      </c>
      <c r="K33" s="2" t="str" cm="1">
        <f t="array" ref="K33">_xlfn.IFS($I33&gt;293, "Solid", $J33&lt;293, "Gas", TRUE, "Liquid")</f>
        <v>Solid</v>
      </c>
      <c r="L33" s="2">
        <v>0.32</v>
      </c>
      <c r="M33" s="2">
        <v>2.0099999999999998</v>
      </c>
      <c r="N33" s="2">
        <v>1.5</v>
      </c>
      <c r="O33" s="1" t="s">
        <v>19</v>
      </c>
      <c r="P33" s="1" t="s">
        <v>29</v>
      </c>
    </row>
    <row r="34" spans="1:16" x14ac:dyDescent="0.35">
      <c r="A34" s="1" t="s">
        <v>122</v>
      </c>
      <c r="B34" s="1" t="s">
        <v>123</v>
      </c>
      <c r="C34" s="1" t="s">
        <v>124</v>
      </c>
      <c r="D34" s="1" t="s">
        <v>47</v>
      </c>
      <c r="E34" s="1" t="s">
        <v>30</v>
      </c>
      <c r="F34" s="1" t="s">
        <v>37</v>
      </c>
      <c r="G34" s="2">
        <v>74.921999999999997</v>
      </c>
      <c r="H34" s="2">
        <v>5.7270000000000003</v>
      </c>
      <c r="I34" s="2">
        <v>1090</v>
      </c>
      <c r="J34" s="2">
        <v>887</v>
      </c>
      <c r="K34" s="2" t="str" cm="1">
        <f t="array" ref="K34">_xlfn.IFS($I34&gt;293, "Solid", $J34&lt;293, "Gas", TRUE, "Liquid")</f>
        <v>Solid</v>
      </c>
      <c r="L34" s="2">
        <v>0.32900000000000001</v>
      </c>
      <c r="M34" s="2">
        <v>2.1800000000000002</v>
      </c>
      <c r="N34" s="2">
        <v>1.8</v>
      </c>
      <c r="O34" s="1" t="s">
        <v>19</v>
      </c>
      <c r="P34" s="1" t="s">
        <v>29</v>
      </c>
    </row>
    <row r="35" spans="1:16" x14ac:dyDescent="0.35">
      <c r="A35" s="1" t="s">
        <v>125</v>
      </c>
      <c r="B35" s="1" t="s">
        <v>126</v>
      </c>
      <c r="C35" s="1" t="s">
        <v>127</v>
      </c>
      <c r="D35" s="1" t="s">
        <v>52</v>
      </c>
      <c r="E35" s="1" t="s">
        <v>30</v>
      </c>
      <c r="F35" s="1" t="s">
        <v>37</v>
      </c>
      <c r="G35" s="2">
        <v>78.971000000000004</v>
      </c>
      <c r="H35" s="2">
        <v>4.8099999999999996</v>
      </c>
      <c r="I35" s="2">
        <v>453</v>
      </c>
      <c r="J35" s="2">
        <v>958</v>
      </c>
      <c r="K35" s="2" t="str" cm="1">
        <f t="array" ref="K35">_xlfn.IFS($I35&gt;293, "Solid", $J35&lt;293, "Gas", TRUE, "Liquid")</f>
        <v>Solid</v>
      </c>
      <c r="L35" s="2">
        <v>0.32100000000000001</v>
      </c>
      <c r="M35" s="2">
        <v>2.5499999999999998</v>
      </c>
      <c r="N35" s="2">
        <v>0.05</v>
      </c>
      <c r="O35" s="1" t="s">
        <v>19</v>
      </c>
      <c r="P35" s="1" t="s">
        <v>29</v>
      </c>
    </row>
    <row r="36" spans="1:16" x14ac:dyDescent="0.35">
      <c r="A36" s="1" t="s">
        <v>128</v>
      </c>
      <c r="B36" s="1" t="s">
        <v>129</v>
      </c>
      <c r="C36" s="1" t="s">
        <v>130</v>
      </c>
      <c r="D36" s="1" t="s">
        <v>56</v>
      </c>
      <c r="E36" s="1" t="s">
        <v>30</v>
      </c>
      <c r="F36" s="1" t="s">
        <v>37</v>
      </c>
      <c r="G36" s="2">
        <v>79.903999999999996</v>
      </c>
      <c r="H36" s="2">
        <v>3.1027999999999998</v>
      </c>
      <c r="I36" s="2">
        <v>265.8</v>
      </c>
      <c r="J36" s="2">
        <v>332</v>
      </c>
      <c r="K36" s="2" t="str" cm="1">
        <f t="array" ref="K36">_xlfn.IFS($I36&gt;293, "Solid", $J36&lt;293, "Gas", TRUE, "Liquid")</f>
        <v>Liquid</v>
      </c>
      <c r="L36" s="2">
        <v>0.47399999999999998</v>
      </c>
      <c r="M36" s="2">
        <v>2.96</v>
      </c>
      <c r="N36" s="2">
        <v>2.4</v>
      </c>
      <c r="O36" s="1" t="s">
        <v>19</v>
      </c>
      <c r="P36" s="1" t="s">
        <v>131</v>
      </c>
    </row>
    <row r="37" spans="1:16" x14ac:dyDescent="0.35">
      <c r="A37" s="1" t="s">
        <v>132</v>
      </c>
      <c r="B37" s="1" t="s">
        <v>133</v>
      </c>
      <c r="C37" s="1" t="s">
        <v>134</v>
      </c>
      <c r="D37" s="1" t="s">
        <v>24</v>
      </c>
      <c r="E37" s="1" t="s">
        <v>30</v>
      </c>
      <c r="F37" s="1" t="s">
        <v>37</v>
      </c>
      <c r="G37" s="2">
        <v>83.798000000000002</v>
      </c>
      <c r="H37" s="2">
        <v>3.7490000000000002E-3</v>
      </c>
      <c r="I37" s="2">
        <v>115.79</v>
      </c>
      <c r="J37" s="2">
        <v>119.93</v>
      </c>
      <c r="K37" s="2" t="str" cm="1">
        <f t="array" ref="K37">_xlfn.IFS($I37&gt;293, "Solid", $J37&lt;293, "Gas", TRUE, "Liquid")</f>
        <v>Gas</v>
      </c>
      <c r="L37" s="2">
        <v>0.248</v>
      </c>
      <c r="M37" s="2">
        <v>3</v>
      </c>
      <c r="N37" s="2" t="s">
        <v>135</v>
      </c>
      <c r="O37" s="1" t="s">
        <v>19</v>
      </c>
      <c r="P37" s="1" t="s">
        <v>20</v>
      </c>
    </row>
    <row r="38" spans="1:16" x14ac:dyDescent="0.35">
      <c r="A38" s="1" t="s">
        <v>136</v>
      </c>
      <c r="B38" s="1" t="s">
        <v>137</v>
      </c>
      <c r="C38" s="1" t="s">
        <v>138</v>
      </c>
      <c r="D38" s="1" t="s">
        <v>15</v>
      </c>
      <c r="E38" s="1" t="s">
        <v>33</v>
      </c>
      <c r="F38" s="1" t="s">
        <v>18</v>
      </c>
      <c r="G38" s="2">
        <v>85.468000000000004</v>
      </c>
      <c r="H38" s="2">
        <v>1.532</v>
      </c>
      <c r="I38" s="2">
        <v>312.45999999999998</v>
      </c>
      <c r="J38" s="2">
        <v>961</v>
      </c>
      <c r="K38" s="2" t="str" cm="1">
        <f t="array" ref="K38">_xlfn.IFS($I38&gt;293, "Solid", $J38&lt;293, "Gas", TRUE, "Liquid")</f>
        <v>Solid</v>
      </c>
      <c r="L38" s="2">
        <v>0.36299999999999999</v>
      </c>
      <c r="M38" s="2">
        <v>0.82</v>
      </c>
      <c r="N38" s="2">
        <v>90</v>
      </c>
      <c r="O38" s="1" t="s">
        <v>19</v>
      </c>
      <c r="P38" s="1" t="s">
        <v>29</v>
      </c>
    </row>
    <row r="39" spans="1:16" x14ac:dyDescent="0.35">
      <c r="A39" s="1" t="s">
        <v>140</v>
      </c>
      <c r="B39" s="1" t="s">
        <v>141</v>
      </c>
      <c r="C39" s="1" t="s">
        <v>142</v>
      </c>
      <c r="D39" s="1" t="s">
        <v>21</v>
      </c>
      <c r="E39" s="1" t="s">
        <v>33</v>
      </c>
      <c r="F39" s="1" t="s">
        <v>18</v>
      </c>
      <c r="G39" s="2">
        <v>87.62</v>
      </c>
      <c r="H39" s="2">
        <v>2.64</v>
      </c>
      <c r="I39" s="2">
        <v>1050</v>
      </c>
      <c r="J39" s="2">
        <v>1655</v>
      </c>
      <c r="K39" s="2" t="str" cm="1">
        <f t="array" ref="K39">_xlfn.IFS($I39&gt;293, "Solid", $J39&lt;293, "Gas", TRUE, "Liquid")</f>
        <v>Solid</v>
      </c>
      <c r="L39" s="2">
        <v>0.30099999999999999</v>
      </c>
      <c r="M39" s="2">
        <v>0.95</v>
      </c>
      <c r="N39" s="2">
        <v>370</v>
      </c>
      <c r="O39" s="1" t="s">
        <v>19</v>
      </c>
      <c r="P39" s="1" t="s">
        <v>29</v>
      </c>
    </row>
    <row r="40" spans="1:16" x14ac:dyDescent="0.35">
      <c r="A40" s="1" t="s">
        <v>143</v>
      </c>
      <c r="B40" s="1" t="s">
        <v>144</v>
      </c>
      <c r="C40" s="1" t="s">
        <v>145</v>
      </c>
      <c r="D40" s="1" t="s">
        <v>25</v>
      </c>
      <c r="E40" s="1" t="s">
        <v>33</v>
      </c>
      <c r="F40" s="1" t="s">
        <v>84</v>
      </c>
      <c r="G40" s="2">
        <v>88.906000000000006</v>
      </c>
      <c r="H40" s="2">
        <v>4.4720000000000004</v>
      </c>
      <c r="I40" s="2">
        <v>1799</v>
      </c>
      <c r="J40" s="2">
        <v>3609</v>
      </c>
      <c r="K40" s="2" t="str" cm="1">
        <f t="array" ref="K40">_xlfn.IFS($I40&gt;293, "Solid", $J40&lt;293, "Gas", TRUE, "Liquid")</f>
        <v>Solid</v>
      </c>
      <c r="L40" s="2">
        <v>0.29799999999999999</v>
      </c>
      <c r="M40" s="2">
        <v>1.22</v>
      </c>
      <c r="N40" s="2">
        <v>33</v>
      </c>
      <c r="O40" s="1" t="s">
        <v>19</v>
      </c>
      <c r="P40" s="1" t="s">
        <v>29</v>
      </c>
    </row>
    <row r="41" spans="1:16" x14ac:dyDescent="0.35">
      <c r="A41" s="1" t="s">
        <v>146</v>
      </c>
      <c r="B41" s="1" t="s">
        <v>147</v>
      </c>
      <c r="C41" s="1" t="s">
        <v>148</v>
      </c>
      <c r="D41" s="1" t="s">
        <v>30</v>
      </c>
      <c r="E41" s="1" t="s">
        <v>33</v>
      </c>
      <c r="F41" s="1" t="s">
        <v>84</v>
      </c>
      <c r="G41" s="2">
        <v>91.224000000000004</v>
      </c>
      <c r="H41" s="2">
        <v>6.52</v>
      </c>
      <c r="I41" s="2">
        <v>2128</v>
      </c>
      <c r="J41" s="2">
        <v>4682</v>
      </c>
      <c r="K41" s="2" t="str" cm="1">
        <f t="array" ref="K41">_xlfn.IFS($I41&gt;293, "Solid", $J41&lt;293, "Gas", TRUE, "Liquid")</f>
        <v>Solid</v>
      </c>
      <c r="L41" s="2">
        <v>0.27800000000000002</v>
      </c>
      <c r="M41" s="2">
        <v>1.33</v>
      </c>
      <c r="N41" s="2">
        <v>165</v>
      </c>
      <c r="O41" s="1" t="s">
        <v>19</v>
      </c>
      <c r="P41" s="1" t="s">
        <v>29</v>
      </c>
    </row>
    <row r="42" spans="1:16" x14ac:dyDescent="0.35">
      <c r="A42" s="1" t="s">
        <v>149</v>
      </c>
      <c r="B42" s="1" t="s">
        <v>150</v>
      </c>
      <c r="C42" s="1" t="s">
        <v>151</v>
      </c>
      <c r="D42" s="1" t="s">
        <v>33</v>
      </c>
      <c r="E42" s="1" t="s">
        <v>33</v>
      </c>
      <c r="F42" s="1" t="s">
        <v>84</v>
      </c>
      <c r="G42" s="2">
        <v>92.906000000000006</v>
      </c>
      <c r="H42" s="2">
        <v>8.57</v>
      </c>
      <c r="I42" s="2">
        <v>2750</v>
      </c>
      <c r="J42" s="2">
        <v>5017</v>
      </c>
      <c r="K42" s="2" t="str" cm="1">
        <f t="array" ref="K42">_xlfn.IFS($I42&gt;293, "Solid", $J42&lt;293, "Gas", TRUE, "Liquid")</f>
        <v>Solid</v>
      </c>
      <c r="L42" s="2">
        <v>0.26500000000000001</v>
      </c>
      <c r="M42" s="2">
        <v>1.6</v>
      </c>
      <c r="N42" s="2">
        <v>20</v>
      </c>
      <c r="O42" s="1" t="s">
        <v>19</v>
      </c>
      <c r="P42" s="1" t="s">
        <v>29</v>
      </c>
    </row>
    <row r="43" spans="1:16" x14ac:dyDescent="0.35">
      <c r="A43" s="1" t="s">
        <v>152</v>
      </c>
      <c r="B43" s="1" t="s">
        <v>153</v>
      </c>
      <c r="C43" s="1" t="s">
        <v>154</v>
      </c>
      <c r="D43" s="1" t="s">
        <v>39</v>
      </c>
      <c r="E43" s="1" t="s">
        <v>33</v>
      </c>
      <c r="F43" s="1" t="s">
        <v>84</v>
      </c>
      <c r="G43" s="2">
        <v>95.95</v>
      </c>
      <c r="H43" s="2">
        <v>10.28</v>
      </c>
      <c r="I43" s="2">
        <v>2896</v>
      </c>
      <c r="J43" s="2">
        <v>4912</v>
      </c>
      <c r="K43" s="2" t="str" cm="1">
        <f t="array" ref="K43">_xlfn.IFS($I43&gt;293, "Solid", $J43&lt;293, "Gas", TRUE, "Liquid")</f>
        <v>Solid</v>
      </c>
      <c r="L43" s="2">
        <v>0.251</v>
      </c>
      <c r="M43" s="2">
        <v>2.16</v>
      </c>
      <c r="N43" s="2">
        <v>1.2</v>
      </c>
      <c r="O43" s="1" t="s">
        <v>19</v>
      </c>
      <c r="P43" s="1" t="s">
        <v>29</v>
      </c>
    </row>
    <row r="44" spans="1:16" x14ac:dyDescent="0.35">
      <c r="A44" s="1" t="s">
        <v>155</v>
      </c>
      <c r="B44" s="1" t="s">
        <v>156</v>
      </c>
      <c r="C44" s="1" t="s">
        <v>157</v>
      </c>
      <c r="D44" s="1" t="s">
        <v>44</v>
      </c>
      <c r="E44" s="1" t="s">
        <v>33</v>
      </c>
      <c r="F44" s="1" t="s">
        <v>84</v>
      </c>
      <c r="G44" s="2">
        <v>0</v>
      </c>
      <c r="H44" s="2">
        <v>11</v>
      </c>
      <c r="I44" s="2">
        <v>2430</v>
      </c>
      <c r="J44" s="2">
        <v>4538</v>
      </c>
      <c r="K44" s="2" t="str" cm="1">
        <f t="array" ref="K44">_xlfn.IFS($I44&gt;293, "Solid", $J44&lt;293, "Gas", TRUE, "Liquid")</f>
        <v>Solid</v>
      </c>
      <c r="L44" s="2">
        <v>0</v>
      </c>
      <c r="M44" s="2">
        <v>1.9</v>
      </c>
      <c r="N44" s="2" t="s">
        <v>158</v>
      </c>
      <c r="O44" s="1" t="s">
        <v>159</v>
      </c>
      <c r="P44" s="1" t="s">
        <v>29</v>
      </c>
    </row>
    <row r="45" spans="1:16" x14ac:dyDescent="0.35">
      <c r="A45" s="1" t="s">
        <v>160</v>
      </c>
      <c r="B45" s="1" t="s">
        <v>161</v>
      </c>
      <c r="C45" s="1" t="s">
        <v>162</v>
      </c>
      <c r="D45" s="1" t="s">
        <v>49</v>
      </c>
      <c r="E45" s="1" t="s">
        <v>33</v>
      </c>
      <c r="F45" s="1" t="s">
        <v>84</v>
      </c>
      <c r="G45" s="2">
        <v>101.07</v>
      </c>
      <c r="H45" s="2">
        <v>12.45</v>
      </c>
      <c r="I45" s="2">
        <v>2607</v>
      </c>
      <c r="J45" s="2">
        <v>4423</v>
      </c>
      <c r="K45" s="2" t="str" cm="1">
        <f t="array" ref="K45">_xlfn.IFS($I45&gt;293, "Solid", $J45&lt;293, "Gas", TRUE, "Liquid")</f>
        <v>Solid</v>
      </c>
      <c r="L45" s="2">
        <v>0.23799999999999999</v>
      </c>
      <c r="M45" s="2">
        <v>2.2000000000000002</v>
      </c>
      <c r="N45" s="2">
        <v>1E-3</v>
      </c>
      <c r="O45" s="1" t="s">
        <v>19</v>
      </c>
      <c r="P45" s="1" t="s">
        <v>29</v>
      </c>
    </row>
    <row r="46" spans="1:16" x14ac:dyDescent="0.35">
      <c r="A46" s="1" t="s">
        <v>163</v>
      </c>
      <c r="B46" s="1" t="s">
        <v>164</v>
      </c>
      <c r="C46" s="1" t="s">
        <v>165</v>
      </c>
      <c r="D46" s="1" t="s">
        <v>53</v>
      </c>
      <c r="E46" s="1" t="s">
        <v>33</v>
      </c>
      <c r="F46" s="1" t="s">
        <v>84</v>
      </c>
      <c r="G46" s="2">
        <v>102.91</v>
      </c>
      <c r="H46" s="2">
        <v>12.41</v>
      </c>
      <c r="I46" s="2">
        <v>2237</v>
      </c>
      <c r="J46" s="2">
        <v>3968</v>
      </c>
      <c r="K46" s="2" t="str" cm="1">
        <f t="array" ref="K46">_xlfn.IFS($I46&gt;293, "Solid", $J46&lt;293, "Gas", TRUE, "Liquid")</f>
        <v>Solid</v>
      </c>
      <c r="L46" s="2">
        <v>0.24299999999999999</v>
      </c>
      <c r="M46" s="2">
        <v>2.2799999999999998</v>
      </c>
      <c r="N46" s="2">
        <v>1E-3</v>
      </c>
      <c r="O46" s="1" t="s">
        <v>19</v>
      </c>
      <c r="P46" s="1" t="s">
        <v>29</v>
      </c>
    </row>
    <row r="47" spans="1:16" x14ac:dyDescent="0.35">
      <c r="A47" s="1" t="s">
        <v>166</v>
      </c>
      <c r="B47" s="1" t="s">
        <v>167</v>
      </c>
      <c r="C47" s="1" t="s">
        <v>168</v>
      </c>
      <c r="D47" s="1" t="s">
        <v>38</v>
      </c>
      <c r="E47" s="1" t="s">
        <v>33</v>
      </c>
      <c r="F47" s="1" t="s">
        <v>84</v>
      </c>
      <c r="G47" s="2">
        <v>106.42</v>
      </c>
      <c r="H47" s="2">
        <v>12.023</v>
      </c>
      <c r="I47" s="2">
        <v>1828.05</v>
      </c>
      <c r="J47" s="2">
        <v>3236</v>
      </c>
      <c r="K47" s="2" t="str" cm="1">
        <f t="array" ref="K47">_xlfn.IFS($I47&gt;293, "Solid", $J47&lt;293, "Gas", TRUE, "Liquid")</f>
        <v>Solid</v>
      </c>
      <c r="L47" s="2">
        <v>0.24399999999999999</v>
      </c>
      <c r="M47" s="2">
        <v>2.2000000000000002</v>
      </c>
      <c r="N47" s="2">
        <v>1.4999999999999999E-2</v>
      </c>
      <c r="O47" s="1" t="s">
        <v>19</v>
      </c>
      <c r="P47" s="1" t="s">
        <v>29</v>
      </c>
    </row>
    <row r="48" spans="1:16" x14ac:dyDescent="0.35">
      <c r="A48" s="1" t="s">
        <v>169</v>
      </c>
      <c r="B48" s="1" t="s">
        <v>170</v>
      </c>
      <c r="C48" s="1" t="s">
        <v>171</v>
      </c>
      <c r="D48" s="1" t="s">
        <v>59</v>
      </c>
      <c r="E48" s="1" t="s">
        <v>33</v>
      </c>
      <c r="F48" s="1" t="s">
        <v>84</v>
      </c>
      <c r="G48" s="2">
        <v>107.87</v>
      </c>
      <c r="H48" s="2">
        <v>10.49</v>
      </c>
      <c r="I48" s="2">
        <v>1234.93</v>
      </c>
      <c r="J48" s="2">
        <v>2435</v>
      </c>
      <c r="K48" s="2" t="str" cm="1">
        <f t="array" ref="K48">_xlfn.IFS($I48&gt;293, "Solid", $J48&lt;293, "Gas", TRUE, "Liquid")</f>
        <v>Solid</v>
      </c>
      <c r="L48" s="2">
        <v>0.23499999999999999</v>
      </c>
      <c r="M48" s="2">
        <v>1.93</v>
      </c>
      <c r="N48" s="2">
        <v>7.4999999999999997E-2</v>
      </c>
      <c r="O48" s="1" t="s">
        <v>19</v>
      </c>
      <c r="P48" s="1" t="s">
        <v>29</v>
      </c>
    </row>
    <row r="49" spans="1:16" x14ac:dyDescent="0.35">
      <c r="A49" s="1" t="s">
        <v>172</v>
      </c>
      <c r="B49" s="1" t="s">
        <v>173</v>
      </c>
      <c r="C49" s="1" t="s">
        <v>174</v>
      </c>
      <c r="D49" s="1" t="s">
        <v>62</v>
      </c>
      <c r="E49" s="1" t="s">
        <v>33</v>
      </c>
      <c r="F49" s="1" t="s">
        <v>84</v>
      </c>
      <c r="G49" s="2">
        <v>112.41</v>
      </c>
      <c r="H49" s="2">
        <v>8.65</v>
      </c>
      <c r="I49" s="2">
        <v>594.22</v>
      </c>
      <c r="J49" s="2">
        <v>1040</v>
      </c>
      <c r="K49" s="2" t="str" cm="1">
        <f t="array" ref="K49">_xlfn.IFS($I49&gt;293, "Solid", $J49&lt;293, "Gas", TRUE, "Liquid")</f>
        <v>Solid</v>
      </c>
      <c r="L49" s="2">
        <v>0.23200000000000001</v>
      </c>
      <c r="M49" s="2">
        <v>1.69</v>
      </c>
      <c r="N49" s="2">
        <v>0.159</v>
      </c>
      <c r="O49" s="1" t="s">
        <v>19</v>
      </c>
      <c r="P49" s="1" t="s">
        <v>29</v>
      </c>
    </row>
    <row r="50" spans="1:16" x14ac:dyDescent="0.35">
      <c r="A50" s="1" t="s">
        <v>175</v>
      </c>
      <c r="B50" s="1" t="s">
        <v>176</v>
      </c>
      <c r="C50" s="1" t="s">
        <v>177</v>
      </c>
      <c r="D50" s="1" t="s">
        <v>36</v>
      </c>
      <c r="E50" s="1" t="s">
        <v>33</v>
      </c>
      <c r="F50" s="1" t="s">
        <v>37</v>
      </c>
      <c r="G50" s="2">
        <v>114.82</v>
      </c>
      <c r="H50" s="2">
        <v>7.31</v>
      </c>
      <c r="I50" s="2">
        <v>429.75</v>
      </c>
      <c r="J50" s="2">
        <v>2345</v>
      </c>
      <c r="K50" s="2" t="str" cm="1">
        <f t="array" ref="K50">_xlfn.IFS($I50&gt;293, "Solid", $J50&lt;293, "Gas", TRUE, "Liquid")</f>
        <v>Solid</v>
      </c>
      <c r="L50" s="2">
        <v>0.23300000000000001</v>
      </c>
      <c r="M50" s="2">
        <v>1.78</v>
      </c>
      <c r="N50" s="2">
        <v>0.25</v>
      </c>
      <c r="O50" s="1" t="s">
        <v>19</v>
      </c>
      <c r="P50" s="1" t="s">
        <v>29</v>
      </c>
    </row>
    <row r="51" spans="1:16" x14ac:dyDescent="0.35">
      <c r="A51" s="1" t="s">
        <v>178</v>
      </c>
      <c r="B51" s="1" t="s">
        <v>179</v>
      </c>
      <c r="C51" s="1" t="s">
        <v>180</v>
      </c>
      <c r="D51" s="1" t="s">
        <v>42</v>
      </c>
      <c r="E51" s="1" t="s">
        <v>33</v>
      </c>
      <c r="F51" s="1" t="s">
        <v>37</v>
      </c>
      <c r="G51" s="2">
        <v>118.71</v>
      </c>
      <c r="H51" s="2">
        <v>7.2649999999999997</v>
      </c>
      <c r="I51" s="2">
        <v>505.08</v>
      </c>
      <c r="J51" s="2">
        <v>2875</v>
      </c>
      <c r="K51" s="2" t="str" cm="1">
        <f t="array" ref="K51">_xlfn.IFS($I51&gt;293, "Solid", $J51&lt;293, "Gas", TRUE, "Liquid")</f>
        <v>Solid</v>
      </c>
      <c r="L51" s="2">
        <v>0.22800000000000001</v>
      </c>
      <c r="M51" s="2">
        <v>1.96</v>
      </c>
      <c r="N51" s="2">
        <v>2.2999999999999998</v>
      </c>
      <c r="O51" s="1" t="s">
        <v>19</v>
      </c>
      <c r="P51" s="1" t="s">
        <v>29</v>
      </c>
    </row>
    <row r="52" spans="1:16" x14ac:dyDescent="0.35">
      <c r="A52" s="1" t="s">
        <v>181</v>
      </c>
      <c r="B52" s="1" t="s">
        <v>182</v>
      </c>
      <c r="C52" s="1" t="s">
        <v>183</v>
      </c>
      <c r="D52" s="1" t="s">
        <v>47</v>
      </c>
      <c r="E52" s="1" t="s">
        <v>33</v>
      </c>
      <c r="F52" s="1" t="s">
        <v>37</v>
      </c>
      <c r="G52" s="2">
        <v>121.76</v>
      </c>
      <c r="H52" s="2">
        <v>6.6970000000000001</v>
      </c>
      <c r="I52" s="2">
        <v>903.78</v>
      </c>
      <c r="J52" s="2">
        <v>1860</v>
      </c>
      <c r="K52" s="2" t="str" cm="1">
        <f t="array" ref="K52">_xlfn.IFS($I52&gt;293, "Solid", $J52&lt;293, "Gas", TRUE, "Liquid")</f>
        <v>Solid</v>
      </c>
      <c r="L52" s="2">
        <v>0.20699999999999999</v>
      </c>
      <c r="M52" s="2">
        <v>2.0499999999999998</v>
      </c>
      <c r="N52" s="2">
        <v>0.2</v>
      </c>
      <c r="O52" s="1" t="s">
        <v>19</v>
      </c>
      <c r="P52" s="1" t="s">
        <v>29</v>
      </c>
    </row>
    <row r="53" spans="1:16" x14ac:dyDescent="0.35">
      <c r="A53" s="1" t="s">
        <v>184</v>
      </c>
      <c r="B53" s="1" t="s">
        <v>185</v>
      </c>
      <c r="C53" s="1" t="s">
        <v>186</v>
      </c>
      <c r="D53" s="1" t="s">
        <v>52</v>
      </c>
      <c r="E53" s="1" t="s">
        <v>33</v>
      </c>
      <c r="F53" s="1" t="s">
        <v>37</v>
      </c>
      <c r="G53" s="2">
        <v>127.6</v>
      </c>
      <c r="H53" s="2">
        <v>6.24</v>
      </c>
      <c r="I53" s="2">
        <v>722.66</v>
      </c>
      <c r="J53" s="2">
        <v>1261</v>
      </c>
      <c r="K53" s="2" t="str" cm="1">
        <f t="array" ref="K53">_xlfn.IFS($I53&gt;293, "Solid", $J53&lt;293, "Gas", TRUE, "Liquid")</f>
        <v>Solid</v>
      </c>
      <c r="L53" s="2">
        <v>0.20200000000000001</v>
      </c>
      <c r="M53" s="2">
        <v>2.1</v>
      </c>
      <c r="N53" s="2">
        <v>1E-3</v>
      </c>
      <c r="O53" s="1" t="s">
        <v>19</v>
      </c>
      <c r="P53" s="1" t="s">
        <v>29</v>
      </c>
    </row>
    <row r="54" spans="1:16" x14ac:dyDescent="0.35">
      <c r="A54" s="1" t="s">
        <v>187</v>
      </c>
      <c r="B54" s="1" t="s">
        <v>188</v>
      </c>
      <c r="C54" s="1" t="s">
        <v>189</v>
      </c>
      <c r="D54" s="1" t="s">
        <v>56</v>
      </c>
      <c r="E54" s="1" t="s">
        <v>33</v>
      </c>
      <c r="F54" s="1" t="s">
        <v>37</v>
      </c>
      <c r="G54" s="2">
        <v>126.9</v>
      </c>
      <c r="H54" s="2">
        <v>4.9329999999999998</v>
      </c>
      <c r="I54" s="2">
        <v>386.85</v>
      </c>
      <c r="J54" s="2">
        <v>457.4</v>
      </c>
      <c r="K54" s="2" t="str" cm="1">
        <f t="array" ref="K54">_xlfn.IFS($I54&gt;293, "Solid", $J54&lt;293, "Gas", TRUE, "Liquid")</f>
        <v>Solid</v>
      </c>
      <c r="L54" s="2">
        <v>0.214</v>
      </c>
      <c r="M54" s="2">
        <v>2.66</v>
      </c>
      <c r="N54" s="2">
        <v>0.45</v>
      </c>
      <c r="O54" s="1" t="s">
        <v>19</v>
      </c>
      <c r="P54" s="1" t="s">
        <v>29</v>
      </c>
    </row>
    <row r="55" spans="1:16" x14ac:dyDescent="0.35">
      <c r="A55" s="1" t="s">
        <v>190</v>
      </c>
      <c r="B55" s="1" t="s">
        <v>191</v>
      </c>
      <c r="C55" s="1" t="s">
        <v>192</v>
      </c>
      <c r="D55" s="1" t="s">
        <v>24</v>
      </c>
      <c r="E55" s="1" t="s">
        <v>33</v>
      </c>
      <c r="F55" s="1" t="s">
        <v>37</v>
      </c>
      <c r="G55" s="2">
        <v>131.29</v>
      </c>
      <c r="H55" s="2">
        <v>5.8939999999999999E-3</v>
      </c>
      <c r="I55" s="2">
        <v>161.4</v>
      </c>
      <c r="J55" s="2">
        <v>165.03</v>
      </c>
      <c r="K55" s="2" t="str" cm="1">
        <f t="array" ref="K55">_xlfn.IFS($I55&gt;293, "Solid", $J55&lt;293, "Gas", TRUE, "Liquid")</f>
        <v>Gas</v>
      </c>
      <c r="L55" s="2">
        <v>0.158</v>
      </c>
      <c r="M55" s="2">
        <v>2.6</v>
      </c>
      <c r="N55" s="2" t="s">
        <v>193</v>
      </c>
      <c r="O55" s="1" t="s">
        <v>19</v>
      </c>
      <c r="P55" s="1" t="s">
        <v>20</v>
      </c>
    </row>
    <row r="56" spans="1:16" x14ac:dyDescent="0.35">
      <c r="A56" s="1" t="s">
        <v>194</v>
      </c>
      <c r="B56" s="1" t="s">
        <v>195</v>
      </c>
      <c r="C56" s="1" t="s">
        <v>196</v>
      </c>
      <c r="D56" s="1" t="s">
        <v>15</v>
      </c>
      <c r="E56" s="1" t="s">
        <v>39</v>
      </c>
      <c r="F56" s="1" t="s">
        <v>18</v>
      </c>
      <c r="G56" s="2">
        <v>132.91</v>
      </c>
      <c r="H56" s="2">
        <v>1.93</v>
      </c>
      <c r="I56" s="2">
        <v>301.58999999999997</v>
      </c>
      <c r="J56" s="2">
        <v>944</v>
      </c>
      <c r="K56" s="2" t="str" cm="1">
        <f t="array" ref="K56">_xlfn.IFS($I56&gt;293, "Solid", $J56&lt;293, "Gas", TRUE, "Liquid")</f>
        <v>Solid</v>
      </c>
      <c r="L56" s="2">
        <v>0.24199999999999999</v>
      </c>
      <c r="M56" s="2">
        <v>0.79</v>
      </c>
      <c r="N56" s="2">
        <v>3</v>
      </c>
      <c r="O56" s="1" t="s">
        <v>19</v>
      </c>
      <c r="P56" s="1" t="s">
        <v>29</v>
      </c>
    </row>
    <row r="57" spans="1:16" x14ac:dyDescent="0.35">
      <c r="A57" s="1" t="s">
        <v>197</v>
      </c>
      <c r="B57" s="1" t="s">
        <v>198</v>
      </c>
      <c r="C57" s="1" t="s">
        <v>199</v>
      </c>
      <c r="D57" s="1" t="s">
        <v>21</v>
      </c>
      <c r="E57" s="1" t="s">
        <v>39</v>
      </c>
      <c r="F57" s="1" t="s">
        <v>18</v>
      </c>
      <c r="G57" s="2">
        <v>137.33000000000001</v>
      </c>
      <c r="H57" s="2">
        <v>3.51</v>
      </c>
      <c r="I57" s="2">
        <v>1000</v>
      </c>
      <c r="J57" s="2">
        <v>2170</v>
      </c>
      <c r="K57" s="2" t="str" cm="1">
        <f t="array" ref="K57">_xlfn.IFS($I57&gt;293, "Solid", $J57&lt;293, "Gas", TRUE, "Liquid")</f>
        <v>Solid</v>
      </c>
      <c r="L57" s="2">
        <v>0.20399999999999999</v>
      </c>
      <c r="M57" s="2">
        <v>0.89</v>
      </c>
      <c r="N57" s="2">
        <v>425</v>
      </c>
      <c r="O57" s="1" t="s">
        <v>19</v>
      </c>
      <c r="P57" s="1" t="s">
        <v>29</v>
      </c>
    </row>
    <row r="58" spans="1:16" x14ac:dyDescent="0.35">
      <c r="A58" s="1" t="s">
        <v>200</v>
      </c>
      <c r="B58" s="1" t="s">
        <v>201</v>
      </c>
      <c r="C58" s="1" t="s">
        <v>202</v>
      </c>
      <c r="D58" s="1" t="s">
        <v>203</v>
      </c>
      <c r="E58" s="1" t="s">
        <v>39</v>
      </c>
      <c r="F58" s="1" t="s">
        <v>204</v>
      </c>
      <c r="G58" s="2">
        <v>138.91</v>
      </c>
      <c r="H58" s="2">
        <v>6.1619999999999999</v>
      </c>
      <c r="I58" s="2">
        <v>1193</v>
      </c>
      <c r="J58" s="2">
        <v>3737</v>
      </c>
      <c r="K58" s="2" t="str" cm="1">
        <f t="array" ref="K58">_xlfn.IFS($I58&gt;293, "Solid", $J58&lt;293, "Gas", TRUE, "Liquid")</f>
        <v>Solid</v>
      </c>
      <c r="L58" s="2">
        <v>0.19500000000000001</v>
      </c>
      <c r="M58" s="2">
        <v>1.1000000000000001</v>
      </c>
      <c r="N58" s="2">
        <v>39</v>
      </c>
      <c r="O58" s="1" t="s">
        <v>19</v>
      </c>
      <c r="P58" s="1" t="s">
        <v>29</v>
      </c>
    </row>
    <row r="59" spans="1:16" x14ac:dyDescent="0.35">
      <c r="A59" s="1" t="s">
        <v>205</v>
      </c>
      <c r="B59" s="1" t="s">
        <v>206</v>
      </c>
      <c r="C59" s="1" t="s">
        <v>207</v>
      </c>
      <c r="D59" s="1" t="s">
        <v>203</v>
      </c>
      <c r="E59" s="1" t="s">
        <v>39</v>
      </c>
      <c r="F59" s="1" t="s">
        <v>204</v>
      </c>
      <c r="G59" s="2">
        <v>140.12</v>
      </c>
      <c r="H59" s="2">
        <v>6.77</v>
      </c>
      <c r="I59" s="2">
        <v>1068</v>
      </c>
      <c r="J59" s="2">
        <v>3716</v>
      </c>
      <c r="K59" s="2" t="str" cm="1">
        <f t="array" ref="K59">_xlfn.IFS($I59&gt;293, "Solid", $J59&lt;293, "Gas", TRUE, "Liquid")</f>
        <v>Solid</v>
      </c>
      <c r="L59" s="2">
        <v>0.192</v>
      </c>
      <c r="M59" s="2">
        <v>1.1200000000000001</v>
      </c>
      <c r="N59" s="2">
        <v>66.5</v>
      </c>
      <c r="O59" s="1" t="s">
        <v>19</v>
      </c>
      <c r="P59" s="1" t="s">
        <v>29</v>
      </c>
    </row>
    <row r="60" spans="1:16" x14ac:dyDescent="0.35">
      <c r="A60" s="1" t="s">
        <v>208</v>
      </c>
      <c r="B60" s="1" t="s">
        <v>209</v>
      </c>
      <c r="C60" s="1" t="s">
        <v>210</v>
      </c>
      <c r="D60" s="1" t="s">
        <v>203</v>
      </c>
      <c r="E60" s="1" t="s">
        <v>39</v>
      </c>
      <c r="F60" s="1" t="s">
        <v>204</v>
      </c>
      <c r="G60" s="2">
        <v>140.91</v>
      </c>
      <c r="H60" s="2">
        <v>6.77</v>
      </c>
      <c r="I60" s="2">
        <v>1208</v>
      </c>
      <c r="J60" s="2">
        <v>3793</v>
      </c>
      <c r="K60" s="2" t="str" cm="1">
        <f t="array" ref="K60">_xlfn.IFS($I60&gt;293, "Solid", $J60&lt;293, "Gas", TRUE, "Liquid")</f>
        <v>Solid</v>
      </c>
      <c r="L60" s="2">
        <v>0.193</v>
      </c>
      <c r="M60" s="2">
        <v>1.1299999999999999</v>
      </c>
      <c r="N60" s="2">
        <v>9.1999999999999993</v>
      </c>
      <c r="O60" s="1" t="s">
        <v>19</v>
      </c>
      <c r="P60" s="1" t="s">
        <v>29</v>
      </c>
    </row>
    <row r="61" spans="1:16" x14ac:dyDescent="0.35">
      <c r="A61" s="1" t="s">
        <v>111</v>
      </c>
      <c r="B61" s="1" t="s">
        <v>211</v>
      </c>
      <c r="C61" s="1" t="s">
        <v>212</v>
      </c>
      <c r="D61" s="1" t="s">
        <v>203</v>
      </c>
      <c r="E61" s="1" t="s">
        <v>39</v>
      </c>
      <c r="F61" s="1" t="s">
        <v>204</v>
      </c>
      <c r="G61" s="2">
        <v>144.24</v>
      </c>
      <c r="H61" s="2">
        <v>7.01</v>
      </c>
      <c r="I61" s="2">
        <v>1297</v>
      </c>
      <c r="J61" s="2">
        <v>3347</v>
      </c>
      <c r="K61" s="2" t="str" cm="1">
        <f t="array" ref="K61">_xlfn.IFS($I61&gt;293, "Solid", $J61&lt;293, "Gas", TRUE, "Liquid")</f>
        <v>Solid</v>
      </c>
      <c r="L61" s="2">
        <v>0.19</v>
      </c>
      <c r="M61" s="2">
        <v>1.1399999999999999</v>
      </c>
      <c r="N61" s="2">
        <v>41.5</v>
      </c>
      <c r="O61" s="1" t="s">
        <v>19</v>
      </c>
      <c r="P61" s="1" t="s">
        <v>29</v>
      </c>
    </row>
    <row r="62" spans="1:16" x14ac:dyDescent="0.35">
      <c r="A62" s="1" t="s">
        <v>213</v>
      </c>
      <c r="B62" s="1" t="s">
        <v>214</v>
      </c>
      <c r="C62" s="1" t="s">
        <v>215</v>
      </c>
      <c r="D62" s="1" t="s">
        <v>203</v>
      </c>
      <c r="E62" s="1" t="s">
        <v>39</v>
      </c>
      <c r="F62" s="1" t="s">
        <v>204</v>
      </c>
      <c r="G62" s="2">
        <v>0</v>
      </c>
      <c r="H62" s="2">
        <v>7.26</v>
      </c>
      <c r="I62" s="2">
        <v>1315</v>
      </c>
      <c r="J62" s="2">
        <v>3273</v>
      </c>
      <c r="K62" s="2" t="str" cm="1">
        <f t="array" ref="K62">_xlfn.IFS($I62&gt;293, "Solid", $J62&lt;293, "Gas", TRUE, "Liquid")</f>
        <v>Solid</v>
      </c>
      <c r="L62" s="2">
        <v>0</v>
      </c>
      <c r="M62" s="2">
        <v>1.1299999999999999</v>
      </c>
      <c r="N62" s="2" t="s">
        <v>216</v>
      </c>
      <c r="O62" s="1" t="s">
        <v>159</v>
      </c>
      <c r="P62" s="1" t="s">
        <v>29</v>
      </c>
    </row>
    <row r="63" spans="1:16" x14ac:dyDescent="0.35">
      <c r="A63" s="1" t="s">
        <v>217</v>
      </c>
      <c r="B63" s="1" t="s">
        <v>218</v>
      </c>
      <c r="C63" s="1" t="s">
        <v>219</v>
      </c>
      <c r="D63" s="1" t="s">
        <v>203</v>
      </c>
      <c r="E63" s="1" t="s">
        <v>39</v>
      </c>
      <c r="F63" s="1" t="s">
        <v>204</v>
      </c>
      <c r="G63" s="2">
        <v>150.36000000000001</v>
      </c>
      <c r="H63" s="2">
        <v>7.52</v>
      </c>
      <c r="I63" s="2">
        <v>1345</v>
      </c>
      <c r="J63" s="2">
        <v>2067</v>
      </c>
      <c r="K63" s="2" t="str" cm="1">
        <f t="array" ref="K63">_xlfn.IFS($I63&gt;293, "Solid", $J63&lt;293, "Gas", TRUE, "Liquid")</f>
        <v>Solid</v>
      </c>
      <c r="L63" s="2">
        <v>0.19700000000000001</v>
      </c>
      <c r="M63" s="2">
        <v>1.17</v>
      </c>
      <c r="N63" s="2">
        <v>7.05</v>
      </c>
      <c r="O63" s="1" t="s">
        <v>19</v>
      </c>
      <c r="P63" s="1" t="s">
        <v>29</v>
      </c>
    </row>
    <row r="64" spans="1:16" x14ac:dyDescent="0.35">
      <c r="A64" s="1" t="s">
        <v>220</v>
      </c>
      <c r="B64" s="1" t="s">
        <v>221</v>
      </c>
      <c r="C64" s="1" t="s">
        <v>222</v>
      </c>
      <c r="D64" s="1" t="s">
        <v>203</v>
      </c>
      <c r="E64" s="1" t="s">
        <v>39</v>
      </c>
      <c r="F64" s="1" t="s">
        <v>204</v>
      </c>
      <c r="G64" s="2">
        <v>151.96</v>
      </c>
      <c r="H64" s="2">
        <v>5.2439999999999998</v>
      </c>
      <c r="I64" s="2">
        <v>1099</v>
      </c>
      <c r="J64" s="2">
        <v>1802</v>
      </c>
      <c r="K64" s="2" t="str" cm="1">
        <f t="array" ref="K64">_xlfn.IFS($I64&gt;293, "Solid", $J64&lt;293, "Gas", TRUE, "Liquid")</f>
        <v>Solid</v>
      </c>
      <c r="L64" s="2">
        <v>0.182</v>
      </c>
      <c r="M64" s="2">
        <v>1.2</v>
      </c>
      <c r="N64" s="2">
        <v>2</v>
      </c>
      <c r="O64" s="1" t="s">
        <v>19</v>
      </c>
      <c r="P64" s="1" t="s">
        <v>29</v>
      </c>
    </row>
    <row r="65" spans="1:16" x14ac:dyDescent="0.35">
      <c r="A65" s="1" t="s">
        <v>223</v>
      </c>
      <c r="B65" s="1" t="s">
        <v>224</v>
      </c>
      <c r="C65" s="1" t="s">
        <v>225</v>
      </c>
      <c r="D65" s="1" t="s">
        <v>203</v>
      </c>
      <c r="E65" s="1" t="s">
        <v>39</v>
      </c>
      <c r="F65" s="1" t="s">
        <v>204</v>
      </c>
      <c r="G65" s="2">
        <v>157.25</v>
      </c>
      <c r="H65" s="2">
        <v>7.9</v>
      </c>
      <c r="I65" s="2">
        <v>1585</v>
      </c>
      <c r="J65" s="2">
        <v>3546</v>
      </c>
      <c r="K65" s="2" t="str" cm="1">
        <f t="array" ref="K65">_xlfn.IFS($I65&gt;293, "Solid", $J65&lt;293, "Gas", TRUE, "Liquid")</f>
        <v>Solid</v>
      </c>
      <c r="L65" s="2">
        <v>0.23599999999999999</v>
      </c>
      <c r="M65" s="2">
        <v>1.2</v>
      </c>
      <c r="N65" s="2">
        <v>6.2</v>
      </c>
      <c r="O65" s="1" t="s">
        <v>19</v>
      </c>
      <c r="P65" s="1" t="s">
        <v>29</v>
      </c>
    </row>
    <row r="66" spans="1:16" x14ac:dyDescent="0.35">
      <c r="A66" s="1" t="s">
        <v>226</v>
      </c>
      <c r="B66" s="1" t="s">
        <v>227</v>
      </c>
      <c r="C66" s="1" t="s">
        <v>228</v>
      </c>
      <c r="D66" s="1" t="s">
        <v>203</v>
      </c>
      <c r="E66" s="1" t="s">
        <v>39</v>
      </c>
      <c r="F66" s="1" t="s">
        <v>204</v>
      </c>
      <c r="G66" s="2">
        <v>158.93</v>
      </c>
      <c r="H66" s="2">
        <v>8.23</v>
      </c>
      <c r="I66" s="2">
        <v>1629</v>
      </c>
      <c r="J66" s="2">
        <v>3503</v>
      </c>
      <c r="K66" s="2" t="str" cm="1">
        <f t="array" ref="K66">_xlfn.IFS($I66&gt;293, "Solid", $J66&lt;293, "Gas", TRUE, "Liquid")</f>
        <v>Solid</v>
      </c>
      <c r="L66" s="2">
        <v>0.182</v>
      </c>
      <c r="M66" s="2">
        <v>1.2</v>
      </c>
      <c r="N66" s="2">
        <v>1.2</v>
      </c>
      <c r="O66" s="1" t="s">
        <v>19</v>
      </c>
      <c r="P66" s="1" t="s">
        <v>29</v>
      </c>
    </row>
    <row r="67" spans="1:16" x14ac:dyDescent="0.35">
      <c r="A67" s="1" t="s">
        <v>229</v>
      </c>
      <c r="B67" s="1" t="s">
        <v>230</v>
      </c>
      <c r="C67" s="1" t="s">
        <v>231</v>
      </c>
      <c r="D67" s="1" t="s">
        <v>203</v>
      </c>
      <c r="E67" s="1" t="s">
        <v>39</v>
      </c>
      <c r="F67" s="1" t="s">
        <v>204</v>
      </c>
      <c r="G67" s="2">
        <v>162.5</v>
      </c>
      <c r="H67" s="2">
        <v>8.5399999999999991</v>
      </c>
      <c r="I67" s="2">
        <v>1680</v>
      </c>
      <c r="J67" s="2">
        <v>2840</v>
      </c>
      <c r="K67" s="2" t="str" cm="1">
        <f t="array" ref="K67">_xlfn.IFS($I67&gt;293, "Solid", $J67&lt;293, "Gas", TRUE, "Liquid")</f>
        <v>Solid</v>
      </c>
      <c r="L67" s="2">
        <v>0.17</v>
      </c>
      <c r="M67" s="2">
        <v>1.22</v>
      </c>
      <c r="N67" s="2">
        <v>5.2</v>
      </c>
      <c r="O67" s="1" t="s">
        <v>19</v>
      </c>
      <c r="P67" s="1" t="s">
        <v>29</v>
      </c>
    </row>
    <row r="68" spans="1:16" x14ac:dyDescent="0.35">
      <c r="A68" s="1" t="s">
        <v>232</v>
      </c>
      <c r="B68" s="1" t="s">
        <v>233</v>
      </c>
      <c r="C68" s="1" t="s">
        <v>234</v>
      </c>
      <c r="D68" s="1" t="s">
        <v>203</v>
      </c>
      <c r="E68" s="1" t="s">
        <v>39</v>
      </c>
      <c r="F68" s="1" t="s">
        <v>204</v>
      </c>
      <c r="G68" s="2">
        <v>164.93</v>
      </c>
      <c r="H68" s="2">
        <v>8.7899999999999991</v>
      </c>
      <c r="I68" s="2">
        <v>1734</v>
      </c>
      <c r="J68" s="2">
        <v>2993</v>
      </c>
      <c r="K68" s="2" t="str" cm="1">
        <f t="array" ref="K68">_xlfn.IFS($I68&gt;293, "Solid", $J68&lt;293, "Gas", TRUE, "Liquid")</f>
        <v>Solid</v>
      </c>
      <c r="L68" s="2">
        <v>0.16500000000000001</v>
      </c>
      <c r="M68" s="2">
        <v>1.23</v>
      </c>
      <c r="N68" s="2">
        <v>1.3</v>
      </c>
      <c r="O68" s="1" t="s">
        <v>19</v>
      </c>
      <c r="P68" s="1" t="s">
        <v>29</v>
      </c>
    </row>
    <row r="69" spans="1:16" x14ac:dyDescent="0.35">
      <c r="A69" s="1" t="s">
        <v>235</v>
      </c>
      <c r="B69" s="1" t="s">
        <v>236</v>
      </c>
      <c r="C69" s="1" t="s">
        <v>237</v>
      </c>
      <c r="D69" s="1" t="s">
        <v>203</v>
      </c>
      <c r="E69" s="1" t="s">
        <v>39</v>
      </c>
      <c r="F69" s="1" t="s">
        <v>204</v>
      </c>
      <c r="G69" s="2">
        <v>167.26</v>
      </c>
      <c r="H69" s="2">
        <v>9.0660000000000007</v>
      </c>
      <c r="I69" s="2">
        <v>1802</v>
      </c>
      <c r="J69" s="2">
        <v>3141</v>
      </c>
      <c r="K69" s="2" t="str" cm="1">
        <f t="array" ref="K69">_xlfn.IFS($I69&gt;293, "Solid", $J69&lt;293, "Gas", TRUE, "Liquid")</f>
        <v>Solid</v>
      </c>
      <c r="L69" s="2">
        <v>0.16800000000000001</v>
      </c>
      <c r="M69" s="2">
        <v>1.24</v>
      </c>
      <c r="N69" s="2">
        <v>3.5</v>
      </c>
      <c r="O69" s="1" t="s">
        <v>19</v>
      </c>
      <c r="P69" s="1" t="s">
        <v>29</v>
      </c>
    </row>
    <row r="70" spans="1:16" x14ac:dyDescent="0.35">
      <c r="A70" s="1" t="s">
        <v>238</v>
      </c>
      <c r="B70" s="1" t="s">
        <v>239</v>
      </c>
      <c r="C70" s="1" t="s">
        <v>240</v>
      </c>
      <c r="D70" s="1" t="s">
        <v>203</v>
      </c>
      <c r="E70" s="1" t="s">
        <v>39</v>
      </c>
      <c r="F70" s="1" t="s">
        <v>204</v>
      </c>
      <c r="G70" s="2">
        <v>168.93</v>
      </c>
      <c r="H70" s="2">
        <v>9.32</v>
      </c>
      <c r="I70" s="2">
        <v>1818</v>
      </c>
      <c r="J70" s="2">
        <v>2223</v>
      </c>
      <c r="K70" s="2" t="str" cm="1">
        <f t="array" ref="K70">_xlfn.IFS($I70&gt;293, "Solid", $J70&lt;293, "Gas", TRUE, "Liquid")</f>
        <v>Solid</v>
      </c>
      <c r="L70" s="2">
        <v>0.16</v>
      </c>
      <c r="M70" s="2">
        <v>1.25</v>
      </c>
      <c r="N70" s="2">
        <v>0.52</v>
      </c>
      <c r="O70" s="1" t="s">
        <v>19</v>
      </c>
      <c r="P70" s="1" t="s">
        <v>29</v>
      </c>
    </row>
    <row r="71" spans="1:16" x14ac:dyDescent="0.35">
      <c r="A71" s="1" t="s">
        <v>115</v>
      </c>
      <c r="B71" s="1" t="s">
        <v>241</v>
      </c>
      <c r="C71" s="1" t="s">
        <v>242</v>
      </c>
      <c r="D71" s="1" t="s">
        <v>203</v>
      </c>
      <c r="E71" s="1" t="s">
        <v>39</v>
      </c>
      <c r="F71" s="1" t="s">
        <v>204</v>
      </c>
      <c r="G71" s="2">
        <v>173.05</v>
      </c>
      <c r="H71" s="2">
        <v>6.9</v>
      </c>
      <c r="I71" s="2">
        <v>1097</v>
      </c>
      <c r="J71" s="2">
        <v>1469</v>
      </c>
      <c r="K71" s="2" t="str" cm="1">
        <f t="array" ref="K71">_xlfn.IFS($I71&gt;293, "Solid", $J71&lt;293, "Gas", TRUE, "Liquid")</f>
        <v>Solid</v>
      </c>
      <c r="L71" s="2">
        <v>0.155</v>
      </c>
      <c r="M71" s="2">
        <v>1.1000000000000001</v>
      </c>
      <c r="N71" s="2">
        <v>3.2</v>
      </c>
      <c r="O71" s="1" t="s">
        <v>19</v>
      </c>
      <c r="P71" s="1" t="s">
        <v>29</v>
      </c>
    </row>
    <row r="72" spans="1:16" x14ac:dyDescent="0.35">
      <c r="A72" s="1" t="s">
        <v>243</v>
      </c>
      <c r="B72" s="1" t="s">
        <v>244</v>
      </c>
      <c r="C72" s="1" t="s">
        <v>245</v>
      </c>
      <c r="D72" s="1" t="s">
        <v>25</v>
      </c>
      <c r="E72" s="1" t="s">
        <v>39</v>
      </c>
      <c r="F72" s="1" t="s">
        <v>84</v>
      </c>
      <c r="G72" s="2">
        <v>174.97</v>
      </c>
      <c r="H72" s="2">
        <v>9.8409999999999993</v>
      </c>
      <c r="I72" s="2">
        <v>1925</v>
      </c>
      <c r="J72" s="2">
        <v>3675</v>
      </c>
      <c r="K72" s="2" t="str" cm="1">
        <f t="array" ref="K72">_xlfn.IFS($I72&gt;293, "Solid", $J72&lt;293, "Gas", TRUE, "Liquid")</f>
        <v>Solid</v>
      </c>
      <c r="L72" s="2">
        <v>0.154</v>
      </c>
      <c r="M72" s="2">
        <v>1.27</v>
      </c>
      <c r="N72" s="2">
        <v>0.8</v>
      </c>
      <c r="O72" s="1" t="s">
        <v>19</v>
      </c>
      <c r="P72" s="1" t="s">
        <v>29</v>
      </c>
    </row>
    <row r="73" spans="1:16" x14ac:dyDescent="0.35">
      <c r="A73" s="1" t="s">
        <v>246</v>
      </c>
      <c r="B73" s="1" t="s">
        <v>247</v>
      </c>
      <c r="C73" s="1" t="s">
        <v>248</v>
      </c>
      <c r="D73" s="1" t="s">
        <v>30</v>
      </c>
      <c r="E73" s="1" t="s">
        <v>39</v>
      </c>
      <c r="F73" s="1" t="s">
        <v>84</v>
      </c>
      <c r="G73" s="2">
        <v>178.49</v>
      </c>
      <c r="H73" s="2">
        <v>13.31</v>
      </c>
      <c r="I73" s="2">
        <v>2506</v>
      </c>
      <c r="J73" s="2">
        <v>4876</v>
      </c>
      <c r="K73" s="2" t="str" cm="1">
        <f t="array" ref="K73">_xlfn.IFS($I73&gt;293, "Solid", $J73&lt;293, "Gas", TRUE, "Liquid")</f>
        <v>Solid</v>
      </c>
      <c r="L73" s="2">
        <v>0.14399999999999999</v>
      </c>
      <c r="M73" s="2">
        <v>1.3</v>
      </c>
      <c r="N73" s="2">
        <v>3</v>
      </c>
      <c r="O73" s="1" t="s">
        <v>19</v>
      </c>
      <c r="P73" s="1" t="s">
        <v>29</v>
      </c>
    </row>
    <row r="74" spans="1:16" x14ac:dyDescent="0.35">
      <c r="A74" s="1" t="s">
        <v>249</v>
      </c>
      <c r="B74" s="1" t="s">
        <v>250</v>
      </c>
      <c r="C74" s="1" t="s">
        <v>251</v>
      </c>
      <c r="D74" s="1" t="s">
        <v>33</v>
      </c>
      <c r="E74" s="1" t="s">
        <v>39</v>
      </c>
      <c r="F74" s="1" t="s">
        <v>84</v>
      </c>
      <c r="G74" s="2">
        <v>180.95</v>
      </c>
      <c r="H74" s="2">
        <v>16.690000000000001</v>
      </c>
      <c r="I74" s="2">
        <v>3290</v>
      </c>
      <c r="J74" s="2">
        <v>5731</v>
      </c>
      <c r="K74" s="2" t="str" cm="1">
        <f t="array" ref="K74">_xlfn.IFS($I74&gt;293, "Solid", $J74&lt;293, "Gas", TRUE, "Liquid")</f>
        <v>Solid</v>
      </c>
      <c r="L74" s="2">
        <v>0.14000000000000001</v>
      </c>
      <c r="M74" s="2">
        <v>1.5</v>
      </c>
      <c r="N74" s="2">
        <v>2</v>
      </c>
      <c r="O74" s="1" t="s">
        <v>19</v>
      </c>
      <c r="P74" s="1" t="s">
        <v>29</v>
      </c>
    </row>
    <row r="75" spans="1:16" x14ac:dyDescent="0.35">
      <c r="A75" s="1" t="s">
        <v>252</v>
      </c>
      <c r="B75" s="1" t="s">
        <v>253</v>
      </c>
      <c r="C75" s="1" t="s">
        <v>254</v>
      </c>
      <c r="D75" s="1" t="s">
        <v>39</v>
      </c>
      <c r="E75" s="1" t="s">
        <v>39</v>
      </c>
      <c r="F75" s="1" t="s">
        <v>84</v>
      </c>
      <c r="G75" s="2">
        <v>183.84</v>
      </c>
      <c r="H75" s="2">
        <v>19.25</v>
      </c>
      <c r="I75" s="2">
        <v>3695</v>
      </c>
      <c r="J75" s="2">
        <v>6203</v>
      </c>
      <c r="K75" s="2" t="str" cm="1">
        <f t="array" ref="K75">_xlfn.IFS($I75&gt;293, "Solid", $J75&lt;293, "Gas", TRUE, "Liquid")</f>
        <v>Solid</v>
      </c>
      <c r="L75" s="2">
        <v>0.13200000000000001</v>
      </c>
      <c r="M75" s="2">
        <v>2.36</v>
      </c>
      <c r="N75" s="2">
        <v>1.3</v>
      </c>
      <c r="O75" s="1" t="s">
        <v>19</v>
      </c>
      <c r="P75" s="1" t="s">
        <v>29</v>
      </c>
    </row>
    <row r="76" spans="1:16" x14ac:dyDescent="0.35">
      <c r="A76" s="1" t="s">
        <v>255</v>
      </c>
      <c r="B76" s="1" t="s">
        <v>256</v>
      </c>
      <c r="C76" s="1" t="s">
        <v>257</v>
      </c>
      <c r="D76" s="1" t="s">
        <v>44</v>
      </c>
      <c r="E76" s="1" t="s">
        <v>39</v>
      </c>
      <c r="F76" s="1" t="s">
        <v>84</v>
      </c>
      <c r="G76" s="2">
        <v>186.21</v>
      </c>
      <c r="H76" s="2">
        <v>21.02</v>
      </c>
      <c r="I76" s="2">
        <v>3459</v>
      </c>
      <c r="J76" s="2">
        <v>5869</v>
      </c>
      <c r="K76" s="2" t="str" cm="1">
        <f t="array" ref="K76">_xlfn.IFS($I76&gt;293, "Solid", $J76&lt;293, "Gas", TRUE, "Liquid")</f>
        <v>Solid</v>
      </c>
      <c r="L76" s="2">
        <v>0.13700000000000001</v>
      </c>
      <c r="M76" s="2">
        <v>1.9</v>
      </c>
      <c r="N76" s="2" t="s">
        <v>258</v>
      </c>
      <c r="O76" s="1" t="s">
        <v>19</v>
      </c>
      <c r="P76" s="1" t="s">
        <v>29</v>
      </c>
    </row>
    <row r="77" spans="1:16" x14ac:dyDescent="0.35">
      <c r="A77" s="1" t="s">
        <v>259</v>
      </c>
      <c r="B77" s="1" t="s">
        <v>260</v>
      </c>
      <c r="C77" s="1" t="s">
        <v>261</v>
      </c>
      <c r="D77" s="1" t="s">
        <v>49</v>
      </c>
      <c r="E77" s="1" t="s">
        <v>39</v>
      </c>
      <c r="F77" s="1" t="s">
        <v>84</v>
      </c>
      <c r="G77" s="2">
        <v>190.23</v>
      </c>
      <c r="H77" s="2">
        <v>22.59</v>
      </c>
      <c r="I77" s="2">
        <v>3306</v>
      </c>
      <c r="J77" s="2">
        <v>5285</v>
      </c>
      <c r="K77" s="2" t="str" cm="1">
        <f t="array" ref="K77">_xlfn.IFS($I77&gt;293, "Solid", $J77&lt;293, "Gas", TRUE, "Liquid")</f>
        <v>Solid</v>
      </c>
      <c r="L77" s="2">
        <v>0.13</v>
      </c>
      <c r="M77" s="2">
        <v>2.2000000000000002</v>
      </c>
      <c r="N77" s="2">
        <v>2E-3</v>
      </c>
      <c r="O77" s="1" t="s">
        <v>19</v>
      </c>
      <c r="P77" s="1" t="s">
        <v>29</v>
      </c>
    </row>
    <row r="78" spans="1:16" x14ac:dyDescent="0.35">
      <c r="A78" s="1" t="s">
        <v>262</v>
      </c>
      <c r="B78" s="1" t="s">
        <v>263</v>
      </c>
      <c r="C78" s="1" t="s">
        <v>264</v>
      </c>
      <c r="D78" s="1" t="s">
        <v>53</v>
      </c>
      <c r="E78" s="1" t="s">
        <v>39</v>
      </c>
      <c r="F78" s="1" t="s">
        <v>84</v>
      </c>
      <c r="G78" s="2">
        <v>192.22</v>
      </c>
      <c r="H78" s="2">
        <v>22.56</v>
      </c>
      <c r="I78" s="2">
        <v>2719</v>
      </c>
      <c r="J78" s="2">
        <v>4701</v>
      </c>
      <c r="K78" s="2" t="str" cm="1">
        <f t="array" ref="K78">_xlfn.IFS($I78&gt;293, "Solid", $J78&lt;293, "Gas", TRUE, "Liquid")</f>
        <v>Solid</v>
      </c>
      <c r="L78" s="2">
        <v>0.13100000000000001</v>
      </c>
      <c r="M78" s="2">
        <v>2.2000000000000002</v>
      </c>
      <c r="N78" s="2">
        <v>1E-3</v>
      </c>
      <c r="O78" s="1" t="s">
        <v>19</v>
      </c>
      <c r="P78" s="1" t="s">
        <v>29</v>
      </c>
    </row>
    <row r="79" spans="1:16" x14ac:dyDescent="0.35">
      <c r="A79" s="1" t="s">
        <v>265</v>
      </c>
      <c r="B79" s="1" t="s">
        <v>266</v>
      </c>
      <c r="C79" s="1" t="s">
        <v>267</v>
      </c>
      <c r="D79" s="1" t="s">
        <v>38</v>
      </c>
      <c r="E79" s="1" t="s">
        <v>39</v>
      </c>
      <c r="F79" s="1" t="s">
        <v>84</v>
      </c>
      <c r="G79" s="2">
        <v>195.08</v>
      </c>
      <c r="H79" s="2">
        <v>21.45</v>
      </c>
      <c r="I79" s="2">
        <v>2041.4</v>
      </c>
      <c r="J79" s="2">
        <v>4098</v>
      </c>
      <c r="K79" s="2" t="str" cm="1">
        <f t="array" ref="K79">_xlfn.IFS($I79&gt;293, "Solid", $J79&lt;293, "Gas", TRUE, "Liquid")</f>
        <v>Solid</v>
      </c>
      <c r="L79" s="2">
        <v>0.13300000000000001</v>
      </c>
      <c r="M79" s="2">
        <v>2.2799999999999998</v>
      </c>
      <c r="N79" s="2">
        <v>5.0000000000000001E-3</v>
      </c>
      <c r="O79" s="1" t="s">
        <v>19</v>
      </c>
      <c r="P79" s="1" t="s">
        <v>29</v>
      </c>
    </row>
    <row r="80" spans="1:16" x14ac:dyDescent="0.35">
      <c r="A80" s="1" t="s">
        <v>268</v>
      </c>
      <c r="B80" s="1" t="s">
        <v>269</v>
      </c>
      <c r="C80" s="1" t="s">
        <v>270</v>
      </c>
      <c r="D80" s="1" t="s">
        <v>59</v>
      </c>
      <c r="E80" s="1" t="s">
        <v>39</v>
      </c>
      <c r="F80" s="1" t="s">
        <v>84</v>
      </c>
      <c r="G80" s="2">
        <v>196.97</v>
      </c>
      <c r="H80" s="2">
        <v>19.3</v>
      </c>
      <c r="I80" s="2">
        <v>1337.33</v>
      </c>
      <c r="J80" s="2">
        <v>3129</v>
      </c>
      <c r="K80" s="2" t="str" cm="1">
        <f t="array" ref="K80">_xlfn.IFS($I80&gt;293, "Solid", $J80&lt;293, "Gas", TRUE, "Liquid")</f>
        <v>Solid</v>
      </c>
      <c r="L80" s="2">
        <v>0.129</v>
      </c>
      <c r="M80" s="2">
        <v>2.54</v>
      </c>
      <c r="N80" s="2">
        <v>4.0000000000000001E-3</v>
      </c>
      <c r="O80" s="1" t="s">
        <v>19</v>
      </c>
      <c r="P80" s="1" t="s">
        <v>29</v>
      </c>
    </row>
    <row r="81" spans="1:16" x14ac:dyDescent="0.35">
      <c r="A81" s="1" t="s">
        <v>271</v>
      </c>
      <c r="B81" s="1" t="s">
        <v>272</v>
      </c>
      <c r="C81" s="1" t="s">
        <v>273</v>
      </c>
      <c r="D81" s="1" t="s">
        <v>62</v>
      </c>
      <c r="E81" s="1" t="s">
        <v>39</v>
      </c>
      <c r="F81" s="1" t="s">
        <v>84</v>
      </c>
      <c r="G81" s="2">
        <v>200.59</v>
      </c>
      <c r="H81" s="2">
        <v>13.534000000000001</v>
      </c>
      <c r="I81" s="2">
        <v>234.43</v>
      </c>
      <c r="J81" s="2">
        <v>629.88</v>
      </c>
      <c r="K81" s="2" t="str" cm="1">
        <f t="array" ref="K81">_xlfn.IFS($I81&gt;293, "Solid", $J81&lt;293, "Gas", TRUE, "Liquid")</f>
        <v>Liquid</v>
      </c>
      <c r="L81" s="2">
        <v>0.14000000000000001</v>
      </c>
      <c r="M81" s="2">
        <v>2</v>
      </c>
      <c r="N81" s="2">
        <v>8.5000000000000006E-2</v>
      </c>
      <c r="O81" s="1" t="s">
        <v>19</v>
      </c>
      <c r="P81" s="1" t="s">
        <v>131</v>
      </c>
    </row>
    <row r="82" spans="1:16" x14ac:dyDescent="0.35">
      <c r="A82" s="1" t="s">
        <v>274</v>
      </c>
      <c r="B82" s="1" t="s">
        <v>275</v>
      </c>
      <c r="C82" s="1" t="s">
        <v>276</v>
      </c>
      <c r="D82" s="1" t="s">
        <v>36</v>
      </c>
      <c r="E82" s="1" t="s">
        <v>39</v>
      </c>
      <c r="F82" s="1" t="s">
        <v>37</v>
      </c>
      <c r="G82" s="2">
        <v>204.38</v>
      </c>
      <c r="H82" s="2">
        <v>11.85</v>
      </c>
      <c r="I82" s="2">
        <v>577</v>
      </c>
      <c r="J82" s="2">
        <v>1746</v>
      </c>
      <c r="K82" s="2" t="str" cm="1">
        <f t="array" ref="K82">_xlfn.IFS($I82&gt;293, "Solid", $J82&lt;293, "Gas", TRUE, "Liquid")</f>
        <v>Solid</v>
      </c>
      <c r="L82" s="2">
        <v>0.129</v>
      </c>
      <c r="M82" s="2">
        <v>1.62</v>
      </c>
      <c r="N82" s="2">
        <v>0.85</v>
      </c>
      <c r="O82" s="1" t="s">
        <v>19</v>
      </c>
      <c r="P82" s="1" t="s">
        <v>29</v>
      </c>
    </row>
    <row r="83" spans="1:16" x14ac:dyDescent="0.35">
      <c r="A83" s="1" t="s">
        <v>277</v>
      </c>
      <c r="B83" s="1" t="s">
        <v>278</v>
      </c>
      <c r="C83" s="1" t="s">
        <v>279</v>
      </c>
      <c r="D83" s="1" t="s">
        <v>42</v>
      </c>
      <c r="E83" s="1" t="s">
        <v>39</v>
      </c>
      <c r="F83" s="1" t="s">
        <v>37</v>
      </c>
      <c r="G83" s="2">
        <v>207.2</v>
      </c>
      <c r="H83" s="2">
        <v>11.34</v>
      </c>
      <c r="I83" s="2">
        <v>600.61</v>
      </c>
      <c r="J83" s="2">
        <v>2022</v>
      </c>
      <c r="K83" s="2" t="str" cm="1">
        <f t="array" ref="K83">_xlfn.IFS($I83&gt;293, "Solid", $J83&lt;293, "Gas", TRUE, "Liquid")</f>
        <v>Solid</v>
      </c>
      <c r="L83" s="2">
        <v>0.129</v>
      </c>
      <c r="M83" s="2" t="s">
        <v>405</v>
      </c>
      <c r="N83" s="2">
        <v>14</v>
      </c>
      <c r="O83" s="1" t="s">
        <v>19</v>
      </c>
      <c r="P83" s="1" t="s">
        <v>29</v>
      </c>
    </row>
    <row r="84" spans="1:16" x14ac:dyDescent="0.35">
      <c r="A84" s="1" t="s">
        <v>280</v>
      </c>
      <c r="B84" s="1" t="s">
        <v>281</v>
      </c>
      <c r="C84" s="1" t="s">
        <v>282</v>
      </c>
      <c r="D84" s="1" t="s">
        <v>47</v>
      </c>
      <c r="E84" s="1" t="s">
        <v>39</v>
      </c>
      <c r="F84" s="1" t="s">
        <v>37</v>
      </c>
      <c r="G84" s="2">
        <v>208.98</v>
      </c>
      <c r="H84" s="2">
        <v>9.7799999999999994</v>
      </c>
      <c r="I84" s="2">
        <v>544.70000000000005</v>
      </c>
      <c r="J84" s="2">
        <v>1837</v>
      </c>
      <c r="K84" s="2" t="str" cm="1">
        <f t="array" ref="K84">_xlfn.IFS($I84&gt;293, "Solid", $J84&lt;293, "Gas", TRUE, "Liquid")</f>
        <v>Solid</v>
      </c>
      <c r="L84" s="2">
        <v>0.122</v>
      </c>
      <c r="M84" s="2">
        <v>2.02</v>
      </c>
      <c r="N84" s="2">
        <v>8.9999999999999993E-3</v>
      </c>
      <c r="O84" s="1" t="s">
        <v>19</v>
      </c>
      <c r="P84" s="1" t="s">
        <v>29</v>
      </c>
    </row>
    <row r="85" spans="1:16" x14ac:dyDescent="0.35">
      <c r="A85" s="1" t="s">
        <v>107</v>
      </c>
      <c r="B85" s="1" t="s">
        <v>283</v>
      </c>
      <c r="C85" s="1" t="s">
        <v>284</v>
      </c>
      <c r="D85" s="1" t="s">
        <v>52</v>
      </c>
      <c r="E85" s="1" t="s">
        <v>39</v>
      </c>
      <c r="F85" s="1" t="s">
        <v>37</v>
      </c>
      <c r="G85" s="2" t="s">
        <v>406</v>
      </c>
      <c r="H85" s="2">
        <v>9.1959999999999997</v>
      </c>
      <c r="I85" s="2">
        <v>527</v>
      </c>
      <c r="J85" s="2">
        <v>1235</v>
      </c>
      <c r="K85" s="2" t="str" cm="1">
        <f t="array" ref="K85">_xlfn.IFS($I85&gt;293, "Solid", $J85&lt;293, "Gas", TRUE, "Liquid")</f>
        <v>Solid</v>
      </c>
      <c r="L85" s="2">
        <v>0</v>
      </c>
      <c r="M85" s="2">
        <v>2</v>
      </c>
      <c r="N85" s="2" t="s">
        <v>285</v>
      </c>
      <c r="O85" s="1" t="s">
        <v>159</v>
      </c>
      <c r="P85" s="1" t="s">
        <v>29</v>
      </c>
    </row>
    <row r="86" spans="1:16" x14ac:dyDescent="0.35">
      <c r="A86" s="1" t="s">
        <v>286</v>
      </c>
      <c r="B86" s="1" t="s">
        <v>287</v>
      </c>
      <c r="C86" s="1" t="s">
        <v>288</v>
      </c>
      <c r="D86" s="1" t="s">
        <v>56</v>
      </c>
      <c r="E86" s="1" t="s">
        <v>39</v>
      </c>
      <c r="F86" s="1" t="s">
        <v>37</v>
      </c>
      <c r="G86" s="2" t="s">
        <v>406</v>
      </c>
      <c r="H86" s="2" t="s">
        <v>403</v>
      </c>
      <c r="I86" s="2">
        <v>575</v>
      </c>
      <c r="J86" s="2">
        <v>610</v>
      </c>
      <c r="K86" s="2" t="str" cm="1">
        <f t="array" ref="K86">_xlfn.IFS($I86&gt;293, "Solid", $J86&lt;293, "Gas", TRUE, "Liquid")</f>
        <v>Solid</v>
      </c>
      <c r="L86" s="2">
        <v>0</v>
      </c>
      <c r="M86" s="2">
        <v>2.2000000000000002</v>
      </c>
      <c r="N86" s="2" t="s">
        <v>289</v>
      </c>
      <c r="O86" s="1" t="s">
        <v>159</v>
      </c>
      <c r="P86" s="1" t="s">
        <v>290</v>
      </c>
    </row>
    <row r="87" spans="1:16" x14ac:dyDescent="0.35">
      <c r="A87" s="1" t="s">
        <v>291</v>
      </c>
      <c r="B87" s="1" t="s">
        <v>292</v>
      </c>
      <c r="C87" s="1" t="s">
        <v>293</v>
      </c>
      <c r="D87" s="1" t="s">
        <v>24</v>
      </c>
      <c r="E87" s="1" t="s">
        <v>39</v>
      </c>
      <c r="F87" s="1" t="s">
        <v>37</v>
      </c>
      <c r="G87" s="2" t="s">
        <v>406</v>
      </c>
      <c r="H87" s="2">
        <v>9.7300000000000008E-3</v>
      </c>
      <c r="I87" s="2">
        <v>202</v>
      </c>
      <c r="J87" s="2">
        <v>211.3</v>
      </c>
      <c r="K87" s="2" t="str" cm="1">
        <f t="array" ref="K87">_xlfn.IFS($I87&gt;293, "Solid", $J87&lt;293, "Gas", TRUE, "Liquid")</f>
        <v>Gas</v>
      </c>
      <c r="L87" s="2">
        <v>9.4E-2</v>
      </c>
      <c r="M87" s="2">
        <v>2.2000000000000002</v>
      </c>
      <c r="N87" s="2" t="s">
        <v>294</v>
      </c>
      <c r="O87" s="1" t="s">
        <v>159</v>
      </c>
      <c r="P87" s="1" t="s">
        <v>20</v>
      </c>
    </row>
    <row r="88" spans="1:16" x14ac:dyDescent="0.35">
      <c r="A88" s="1" t="s">
        <v>295</v>
      </c>
      <c r="B88" s="1" t="s">
        <v>296</v>
      </c>
      <c r="C88" s="1" t="s">
        <v>297</v>
      </c>
      <c r="D88" s="1" t="s">
        <v>15</v>
      </c>
      <c r="E88" s="1" t="s">
        <v>44</v>
      </c>
      <c r="F88" s="1" t="s">
        <v>18</v>
      </c>
      <c r="G88" s="2" t="s">
        <v>406</v>
      </c>
      <c r="H88" s="2">
        <v>-2.48</v>
      </c>
      <c r="I88" s="2">
        <v>281</v>
      </c>
      <c r="J88" s="2">
        <v>890</v>
      </c>
      <c r="K88" s="2" t="str" cm="1">
        <f t="array" ref="K88">_xlfn.IFS($I88&gt;293, "Solid", $J88&lt;293, "Gas", TRUE, "Liquid")</f>
        <v>Liquid</v>
      </c>
      <c r="L88" s="2">
        <v>0</v>
      </c>
      <c r="M88" s="2" t="s">
        <v>298</v>
      </c>
      <c r="N88" s="2" t="s">
        <v>299</v>
      </c>
      <c r="O88" s="1" t="s">
        <v>159</v>
      </c>
      <c r="P88" s="1" t="s">
        <v>290</v>
      </c>
    </row>
    <row r="89" spans="1:16" x14ac:dyDescent="0.35">
      <c r="A89" s="1" t="s">
        <v>300</v>
      </c>
      <c r="B89" s="1" t="s">
        <v>301</v>
      </c>
      <c r="C89" s="1" t="s">
        <v>302</v>
      </c>
      <c r="D89" s="1" t="s">
        <v>21</v>
      </c>
      <c r="E89" s="1" t="s">
        <v>44</v>
      </c>
      <c r="F89" s="1" t="s">
        <v>18</v>
      </c>
      <c r="G89" s="2" t="s">
        <v>406</v>
      </c>
      <c r="H89" s="2">
        <v>5.5</v>
      </c>
      <c r="I89" s="2">
        <v>973</v>
      </c>
      <c r="J89" s="2">
        <v>2010</v>
      </c>
      <c r="K89" s="2" t="str" cm="1">
        <f t="array" ref="K89">_xlfn.IFS($I89&gt;293, "Solid", $J89&lt;293, "Gas", TRUE, "Liquid")</f>
        <v>Solid</v>
      </c>
      <c r="L89" s="2">
        <v>9.4E-2</v>
      </c>
      <c r="M89" s="2">
        <v>0.9</v>
      </c>
      <c r="N89" s="2" t="s">
        <v>303</v>
      </c>
      <c r="O89" s="1" t="s">
        <v>159</v>
      </c>
      <c r="P89" s="1" t="s">
        <v>29</v>
      </c>
    </row>
    <row r="90" spans="1:16" x14ac:dyDescent="0.35">
      <c r="A90" s="1" t="s">
        <v>304</v>
      </c>
      <c r="B90" s="1" t="s">
        <v>305</v>
      </c>
      <c r="C90" s="1" t="s">
        <v>306</v>
      </c>
      <c r="D90" s="1" t="s">
        <v>203</v>
      </c>
      <c r="E90" s="1" t="s">
        <v>44</v>
      </c>
      <c r="F90" s="1" t="s">
        <v>204</v>
      </c>
      <c r="G90" s="2" t="s">
        <v>406</v>
      </c>
      <c r="H90" s="2">
        <v>10</v>
      </c>
      <c r="I90" s="2">
        <v>1323</v>
      </c>
      <c r="J90" s="2">
        <v>3471</v>
      </c>
      <c r="K90" s="2" t="str" cm="1">
        <f t="array" ref="K90">_xlfn.IFS($I90&gt;293, "Solid", $J90&lt;293, "Gas", TRUE, "Liquid")</f>
        <v>Solid</v>
      </c>
      <c r="L90" s="2">
        <v>0.12</v>
      </c>
      <c r="M90" s="2">
        <v>1.1000000000000001</v>
      </c>
      <c r="N90" s="2" t="s">
        <v>307</v>
      </c>
      <c r="O90" s="1" t="s">
        <v>159</v>
      </c>
      <c r="P90" s="1" t="s">
        <v>29</v>
      </c>
    </row>
    <row r="91" spans="1:16" x14ac:dyDescent="0.35">
      <c r="A91" s="1" t="s">
        <v>139</v>
      </c>
      <c r="B91" s="1" t="s">
        <v>308</v>
      </c>
      <c r="C91" s="1" t="s">
        <v>309</v>
      </c>
      <c r="D91" s="1" t="s">
        <v>203</v>
      </c>
      <c r="E91" s="1" t="s">
        <v>44</v>
      </c>
      <c r="F91" s="1" t="s">
        <v>204</v>
      </c>
      <c r="G91" s="2">
        <v>232.04</v>
      </c>
      <c r="H91" s="2">
        <v>11.7</v>
      </c>
      <c r="I91" s="2">
        <v>2115</v>
      </c>
      <c r="J91" s="2">
        <v>5061</v>
      </c>
      <c r="K91" s="2" t="str" cm="1">
        <f t="array" ref="K91">_xlfn.IFS($I91&gt;293, "Solid", $J91&lt;293, "Gas", TRUE, "Liquid")</f>
        <v>Solid</v>
      </c>
      <c r="L91" s="2">
        <v>0.113</v>
      </c>
      <c r="M91" s="2">
        <v>1.3</v>
      </c>
      <c r="N91" s="2">
        <v>9.6</v>
      </c>
      <c r="O91" s="1" t="s">
        <v>19</v>
      </c>
      <c r="P91" s="1" t="s">
        <v>29</v>
      </c>
    </row>
    <row r="92" spans="1:16" x14ac:dyDescent="0.35">
      <c r="A92" s="1" t="s">
        <v>310</v>
      </c>
      <c r="B92" s="1" t="s">
        <v>311</v>
      </c>
      <c r="C92" s="1" t="s">
        <v>312</v>
      </c>
      <c r="D92" s="1" t="s">
        <v>203</v>
      </c>
      <c r="E92" s="1" t="s">
        <v>44</v>
      </c>
      <c r="F92" s="1" t="s">
        <v>204</v>
      </c>
      <c r="G92" s="2">
        <v>231.04</v>
      </c>
      <c r="H92" s="2">
        <v>15.37</v>
      </c>
      <c r="I92" s="2">
        <v>1841</v>
      </c>
      <c r="J92" s="2">
        <v>4300</v>
      </c>
      <c r="K92" s="2" t="str" cm="1">
        <f t="array" ref="K92">_xlfn.IFS($I92&gt;293, "Solid", $J92&lt;293, "Gas", TRUE, "Liquid")</f>
        <v>Solid</v>
      </c>
      <c r="L92" s="2">
        <v>0</v>
      </c>
      <c r="M92" s="2">
        <v>1.5</v>
      </c>
      <c r="N92" s="2" t="s">
        <v>313</v>
      </c>
      <c r="O92" s="1" t="s">
        <v>159</v>
      </c>
      <c r="P92" s="1" t="s">
        <v>29</v>
      </c>
    </row>
    <row r="93" spans="1:16" x14ac:dyDescent="0.35">
      <c r="A93" s="1" t="s">
        <v>314</v>
      </c>
      <c r="B93" s="1" t="s">
        <v>315</v>
      </c>
      <c r="C93" s="1" t="s">
        <v>316</v>
      </c>
      <c r="D93" s="1" t="s">
        <v>203</v>
      </c>
      <c r="E93" s="1" t="s">
        <v>44</v>
      </c>
      <c r="F93" s="1" t="s">
        <v>204</v>
      </c>
      <c r="G93" s="2">
        <v>238.03</v>
      </c>
      <c r="H93" s="2">
        <v>19.100000000000001</v>
      </c>
      <c r="I93" s="2">
        <v>1405.3</v>
      </c>
      <c r="J93" s="2">
        <v>4404</v>
      </c>
      <c r="K93" s="2" t="str" cm="1">
        <f t="array" ref="K93">_xlfn.IFS($I93&gt;293, "Solid", $J93&lt;293, "Gas", TRUE, "Liquid")</f>
        <v>Solid</v>
      </c>
      <c r="L93" s="2">
        <v>0.11600000000000001</v>
      </c>
      <c r="M93" s="2">
        <v>1.38</v>
      </c>
      <c r="N93" s="2">
        <v>2.7</v>
      </c>
      <c r="O93" s="1" t="s">
        <v>19</v>
      </c>
      <c r="P93" s="1" t="s">
        <v>29</v>
      </c>
    </row>
    <row r="94" spans="1:16" x14ac:dyDescent="0.35">
      <c r="A94" s="1" t="s">
        <v>317</v>
      </c>
      <c r="B94" s="1" t="s">
        <v>318</v>
      </c>
      <c r="C94" s="1" t="s">
        <v>319</v>
      </c>
      <c r="D94" s="1" t="s">
        <v>203</v>
      </c>
      <c r="E94" s="1" t="s">
        <v>44</v>
      </c>
      <c r="F94" s="1" t="s">
        <v>204</v>
      </c>
      <c r="G94" s="2" t="s">
        <v>406</v>
      </c>
      <c r="H94" s="2">
        <v>20.45</v>
      </c>
      <c r="I94" s="2">
        <v>917</v>
      </c>
      <c r="J94" s="2">
        <v>4273</v>
      </c>
      <c r="K94" s="2" t="str" cm="1">
        <f t="array" ref="K94">_xlfn.IFS($I94&gt;293, "Solid", $J94&lt;293, "Gas", TRUE, "Liquid")</f>
        <v>Solid</v>
      </c>
      <c r="L94" s="2">
        <v>0</v>
      </c>
      <c r="M94" s="2">
        <v>1.36</v>
      </c>
      <c r="N94" s="2" t="s">
        <v>320</v>
      </c>
      <c r="O94" s="1" t="s">
        <v>159</v>
      </c>
      <c r="P94" s="1" t="s">
        <v>29</v>
      </c>
    </row>
    <row r="95" spans="1:16" x14ac:dyDescent="0.35">
      <c r="A95" s="1" t="s">
        <v>321</v>
      </c>
      <c r="B95" s="1" t="s">
        <v>322</v>
      </c>
      <c r="C95" s="1" t="s">
        <v>323</v>
      </c>
      <c r="D95" s="1" t="s">
        <v>203</v>
      </c>
      <c r="E95" s="1" t="s">
        <v>44</v>
      </c>
      <c r="F95" s="1" t="s">
        <v>204</v>
      </c>
      <c r="G95" s="2" t="s">
        <v>406</v>
      </c>
      <c r="H95" s="2">
        <v>19.850000000000001</v>
      </c>
      <c r="I95" s="2">
        <v>912.5</v>
      </c>
      <c r="J95" s="2">
        <v>3501</v>
      </c>
      <c r="K95" s="2" t="str" cm="1">
        <f t="array" ref="K95">_xlfn.IFS($I95&gt;293, "Solid", $J95&lt;293, "Gas", TRUE, "Liquid")</f>
        <v>Solid</v>
      </c>
      <c r="L95" s="2">
        <v>0</v>
      </c>
      <c r="M95" s="2">
        <v>1.28</v>
      </c>
      <c r="N95" s="2" t="s">
        <v>324</v>
      </c>
      <c r="O95" s="1" t="s">
        <v>159</v>
      </c>
      <c r="P95" s="1" t="s">
        <v>29</v>
      </c>
    </row>
    <row r="96" spans="1:16" x14ac:dyDescent="0.35">
      <c r="A96" s="1" t="s">
        <v>325</v>
      </c>
      <c r="B96" s="1" t="s">
        <v>326</v>
      </c>
      <c r="C96" s="1" t="s">
        <v>327</v>
      </c>
      <c r="D96" s="1" t="s">
        <v>203</v>
      </c>
      <c r="E96" s="1" t="s">
        <v>44</v>
      </c>
      <c r="F96" s="1" t="s">
        <v>204</v>
      </c>
      <c r="G96" s="2" t="s">
        <v>406</v>
      </c>
      <c r="H96" s="2">
        <v>12</v>
      </c>
      <c r="I96" s="2">
        <v>1449</v>
      </c>
      <c r="J96" s="2">
        <v>2880</v>
      </c>
      <c r="K96" s="2" t="str" cm="1">
        <f t="array" ref="K96">_xlfn.IFS($I96&gt;293, "Solid", $J96&lt;293, "Gas", TRUE, "Liquid")</f>
        <v>Solid</v>
      </c>
      <c r="L96" s="2">
        <v>0</v>
      </c>
      <c r="M96" s="2">
        <v>1.1299999999999999</v>
      </c>
      <c r="N96" s="2">
        <v>0</v>
      </c>
      <c r="O96" s="1" t="s">
        <v>328</v>
      </c>
      <c r="P96" s="1" t="s">
        <v>29</v>
      </c>
    </row>
    <row r="97" spans="1:16" x14ac:dyDescent="0.35">
      <c r="A97" s="1" t="s">
        <v>329</v>
      </c>
      <c r="B97" s="1" t="s">
        <v>330</v>
      </c>
      <c r="C97" s="1" t="s">
        <v>331</v>
      </c>
      <c r="D97" s="1" t="s">
        <v>203</v>
      </c>
      <c r="E97" s="1" t="s">
        <v>44</v>
      </c>
      <c r="F97" s="1" t="s">
        <v>204</v>
      </c>
      <c r="G97" s="2" t="s">
        <v>406</v>
      </c>
      <c r="H97" s="2">
        <v>13.51</v>
      </c>
      <c r="I97" s="2">
        <v>1613</v>
      </c>
      <c r="J97" s="2">
        <v>3383</v>
      </c>
      <c r="K97" s="2" t="str" cm="1">
        <f t="array" ref="K97">_xlfn.IFS($I97&gt;293, "Solid", $J97&lt;293, "Gas", TRUE, "Liquid")</f>
        <v>Solid</v>
      </c>
      <c r="L97" s="2">
        <v>0</v>
      </c>
      <c r="M97" s="2">
        <v>1.28</v>
      </c>
      <c r="N97" s="2">
        <v>0</v>
      </c>
      <c r="O97" s="1" t="s">
        <v>328</v>
      </c>
      <c r="P97" s="1" t="s">
        <v>29</v>
      </c>
    </row>
    <row r="98" spans="1:16" x14ac:dyDescent="0.35">
      <c r="A98" s="1" t="s">
        <v>332</v>
      </c>
      <c r="B98" s="1" t="s">
        <v>333</v>
      </c>
      <c r="C98" s="1" t="s">
        <v>334</v>
      </c>
      <c r="D98" s="1" t="s">
        <v>203</v>
      </c>
      <c r="E98" s="1" t="s">
        <v>44</v>
      </c>
      <c r="F98" s="1" t="s">
        <v>204</v>
      </c>
      <c r="G98" s="2" t="s">
        <v>406</v>
      </c>
      <c r="H98" s="2">
        <v>14.78</v>
      </c>
      <c r="I98" s="2">
        <v>1259</v>
      </c>
      <c r="J98" s="2">
        <v>2900</v>
      </c>
      <c r="K98" s="2" t="str" cm="1">
        <f t="array" ref="K98">_xlfn.IFS($I98&gt;293, "Solid", $J98&lt;293, "Gas", TRUE, "Liquid")</f>
        <v>Solid</v>
      </c>
      <c r="L98" s="2">
        <v>0</v>
      </c>
      <c r="M98" s="2">
        <v>1.3</v>
      </c>
      <c r="N98" s="2">
        <v>0</v>
      </c>
      <c r="O98" s="1" t="s">
        <v>328</v>
      </c>
      <c r="P98" s="1" t="s">
        <v>29</v>
      </c>
    </row>
    <row r="99" spans="1:16" x14ac:dyDescent="0.35">
      <c r="A99" s="1" t="s">
        <v>335</v>
      </c>
      <c r="B99" s="1" t="s">
        <v>336</v>
      </c>
      <c r="C99" s="1" t="s">
        <v>337</v>
      </c>
      <c r="D99" s="1" t="s">
        <v>203</v>
      </c>
      <c r="E99" s="1" t="s">
        <v>44</v>
      </c>
      <c r="F99" s="1" t="s">
        <v>204</v>
      </c>
      <c r="G99" s="2" t="s">
        <v>406</v>
      </c>
      <c r="H99" s="2">
        <v>15.1</v>
      </c>
      <c r="I99" s="2">
        <v>1173</v>
      </c>
      <c r="J99" s="2">
        <v>-1743</v>
      </c>
      <c r="K99" s="2" t="str" cm="1">
        <f t="array" ref="K99">_xlfn.IFS($I99&gt;293, "Solid", $J99&lt;293, "Gas", TRUE, "Liquid")</f>
        <v>Solid</v>
      </c>
      <c r="L99" s="2">
        <v>0</v>
      </c>
      <c r="M99" s="2">
        <v>1.3</v>
      </c>
      <c r="N99" s="2">
        <v>0</v>
      </c>
      <c r="O99" s="1" t="s">
        <v>328</v>
      </c>
      <c r="P99" s="1" t="s">
        <v>29</v>
      </c>
    </row>
    <row r="100" spans="1:16" x14ac:dyDescent="0.35">
      <c r="A100" s="1" t="s">
        <v>338</v>
      </c>
      <c r="B100" s="1" t="s">
        <v>339</v>
      </c>
      <c r="C100" s="1" t="s">
        <v>340</v>
      </c>
      <c r="D100" s="1" t="s">
        <v>203</v>
      </c>
      <c r="E100" s="1" t="s">
        <v>44</v>
      </c>
      <c r="F100" s="1" t="s">
        <v>204</v>
      </c>
      <c r="G100" s="2" t="s">
        <v>406</v>
      </c>
      <c r="H100" s="2">
        <v>8.84</v>
      </c>
      <c r="I100" s="2">
        <v>1133</v>
      </c>
      <c r="J100" s="2">
        <v>-1269</v>
      </c>
      <c r="K100" s="2" t="str" cm="1">
        <f t="array" ref="K100">_xlfn.IFS($I100&gt;293, "Solid", $J100&lt;293, "Gas", TRUE, "Liquid")</f>
        <v>Solid</v>
      </c>
      <c r="L100" s="2">
        <v>0</v>
      </c>
      <c r="M100" s="2">
        <v>1.3</v>
      </c>
      <c r="N100" s="2">
        <v>0</v>
      </c>
      <c r="O100" s="1" t="s">
        <v>328</v>
      </c>
      <c r="P100" s="1" t="s">
        <v>29</v>
      </c>
    </row>
    <row r="101" spans="1:16" x14ac:dyDescent="0.35">
      <c r="A101" s="1" t="s">
        <v>341</v>
      </c>
      <c r="B101" s="1" t="s">
        <v>342</v>
      </c>
      <c r="C101" s="1" t="s">
        <v>343</v>
      </c>
      <c r="D101" s="1" t="s">
        <v>203</v>
      </c>
      <c r="E101" s="1" t="s">
        <v>44</v>
      </c>
      <c r="F101" s="1" t="s">
        <v>204</v>
      </c>
      <c r="G101" s="2" t="s">
        <v>406</v>
      </c>
      <c r="H101" s="2">
        <v>-9.6999999999999993</v>
      </c>
      <c r="I101" s="2">
        <v>-1125</v>
      </c>
      <c r="J101" s="2">
        <v>0</v>
      </c>
      <c r="K101" s="2" t="str" cm="1">
        <f t="array" ref="K101">_xlfn.IFS($I101&gt;293, "Solid", $J101&lt;293, "Gas", TRUE, "Liquid")</f>
        <v>Gas</v>
      </c>
      <c r="L101" s="2">
        <v>0</v>
      </c>
      <c r="M101" s="2">
        <v>1.3</v>
      </c>
      <c r="N101" s="2">
        <v>0</v>
      </c>
      <c r="O101" s="1" t="s">
        <v>328</v>
      </c>
      <c r="P101" s="1" t="s">
        <v>290</v>
      </c>
    </row>
    <row r="102" spans="1:16" x14ac:dyDescent="0.35">
      <c r="A102" s="1" t="s">
        <v>344</v>
      </c>
      <c r="B102" s="1" t="s">
        <v>345</v>
      </c>
      <c r="C102" s="1" t="s">
        <v>346</v>
      </c>
      <c r="D102" s="1" t="s">
        <v>203</v>
      </c>
      <c r="E102" s="1" t="s">
        <v>44</v>
      </c>
      <c r="F102" s="1" t="s">
        <v>204</v>
      </c>
      <c r="G102" s="2" t="s">
        <v>406</v>
      </c>
      <c r="H102" s="2">
        <v>-10.3</v>
      </c>
      <c r="I102" s="2">
        <v>-1100</v>
      </c>
      <c r="J102" s="2">
        <v>0</v>
      </c>
      <c r="K102" s="2" t="str" cm="1">
        <f t="array" ref="K102">_xlfn.IFS($I102&gt;293, "Solid", $J102&lt;293, "Gas", TRUE, "Liquid")</f>
        <v>Gas</v>
      </c>
      <c r="L102" s="2">
        <v>0</v>
      </c>
      <c r="M102" s="2">
        <v>1.3</v>
      </c>
      <c r="N102" s="2">
        <v>0</v>
      </c>
      <c r="O102" s="1" t="s">
        <v>328</v>
      </c>
      <c r="P102" s="1" t="s">
        <v>290</v>
      </c>
    </row>
    <row r="103" spans="1:16" x14ac:dyDescent="0.35">
      <c r="A103" s="1" t="s">
        <v>94</v>
      </c>
      <c r="B103" s="1" t="s">
        <v>347</v>
      </c>
      <c r="C103" s="1" t="s">
        <v>348</v>
      </c>
      <c r="D103" s="1" t="s">
        <v>203</v>
      </c>
      <c r="E103" s="1" t="s">
        <v>44</v>
      </c>
      <c r="F103" s="1" t="s">
        <v>204</v>
      </c>
      <c r="G103" s="2" t="s">
        <v>406</v>
      </c>
      <c r="H103" s="2">
        <v>-9.9</v>
      </c>
      <c r="I103" s="2">
        <v>-1100</v>
      </c>
      <c r="J103" s="2">
        <v>0</v>
      </c>
      <c r="K103" s="2" t="str" cm="1">
        <f t="array" ref="K103">_xlfn.IFS($I103&gt;293, "Solid", $J103&lt;293, "Gas", TRUE, "Liquid")</f>
        <v>Gas</v>
      </c>
      <c r="L103" s="2">
        <v>0</v>
      </c>
      <c r="M103" s="2">
        <v>1.3</v>
      </c>
      <c r="N103" s="2">
        <v>0</v>
      </c>
      <c r="O103" s="1" t="s">
        <v>328</v>
      </c>
      <c r="P103" s="1" t="s">
        <v>290</v>
      </c>
    </row>
    <row r="104" spans="1:16" x14ac:dyDescent="0.35">
      <c r="A104" s="1" t="s">
        <v>349</v>
      </c>
      <c r="B104" s="1" t="s">
        <v>350</v>
      </c>
      <c r="C104" s="1" t="s">
        <v>351</v>
      </c>
      <c r="D104" s="1" t="s">
        <v>25</v>
      </c>
      <c r="E104" s="1" t="s">
        <v>44</v>
      </c>
      <c r="F104" s="1" t="s">
        <v>84</v>
      </c>
      <c r="G104" s="2" t="s">
        <v>406</v>
      </c>
      <c r="H104" s="2">
        <v>-14.4</v>
      </c>
      <c r="I104" s="2">
        <v>-1900</v>
      </c>
      <c r="J104" s="2">
        <v>0</v>
      </c>
      <c r="K104" s="2" t="str" cm="1">
        <f t="array" ref="K104">_xlfn.IFS($I104&gt;293, "Solid", $J104&lt;293, "Gas", TRUE, "Liquid")</f>
        <v>Gas</v>
      </c>
      <c r="L104" s="2">
        <v>0</v>
      </c>
      <c r="M104" s="2">
        <v>1.3</v>
      </c>
      <c r="N104" s="2">
        <v>0</v>
      </c>
      <c r="O104" s="1" t="s">
        <v>328</v>
      </c>
      <c r="P104" s="1" t="s">
        <v>290</v>
      </c>
    </row>
    <row r="105" spans="1:16" x14ac:dyDescent="0.35">
      <c r="A105" s="1" t="s">
        <v>352</v>
      </c>
      <c r="B105" s="1" t="s">
        <v>353</v>
      </c>
      <c r="C105" s="1" t="s">
        <v>354</v>
      </c>
      <c r="D105" s="1" t="s">
        <v>30</v>
      </c>
      <c r="E105" s="1" t="s">
        <v>44</v>
      </c>
      <c r="F105" s="1" t="s">
        <v>84</v>
      </c>
      <c r="G105" s="2" t="s">
        <v>406</v>
      </c>
      <c r="H105" s="2">
        <v>-17</v>
      </c>
      <c r="I105" s="2">
        <v>-2400</v>
      </c>
      <c r="J105" s="2">
        <v>-5800</v>
      </c>
      <c r="K105" s="2" t="str" cm="1">
        <f t="array" ref="K105">_xlfn.IFS($I105&gt;293, "Solid", $J105&lt;293, "Gas", TRUE, "Liquid")</f>
        <v>Gas</v>
      </c>
      <c r="L105" s="2">
        <v>0</v>
      </c>
      <c r="M105" s="2">
        <v>0</v>
      </c>
      <c r="N105" s="2">
        <v>0</v>
      </c>
      <c r="O105" s="1" t="s">
        <v>328</v>
      </c>
      <c r="P105" s="1" t="s">
        <v>290</v>
      </c>
    </row>
    <row r="106" spans="1:16" x14ac:dyDescent="0.35">
      <c r="A106" s="1" t="s">
        <v>355</v>
      </c>
      <c r="B106" s="1" t="s">
        <v>356</v>
      </c>
      <c r="C106" s="1" t="s">
        <v>357</v>
      </c>
      <c r="D106" s="1" t="s">
        <v>33</v>
      </c>
      <c r="E106" s="1" t="s">
        <v>44</v>
      </c>
      <c r="F106" s="1" t="s">
        <v>84</v>
      </c>
      <c r="G106" s="2" t="s">
        <v>406</v>
      </c>
      <c r="H106" s="2">
        <v>-21.6</v>
      </c>
      <c r="I106" s="2">
        <v>0</v>
      </c>
      <c r="J106" s="2">
        <v>0</v>
      </c>
      <c r="K106" s="2" t="str" cm="1">
        <f t="array" ref="K106">_xlfn.IFS($I106&gt;293, "Solid", $J106&lt;293, "Gas", TRUE, "Liquid")</f>
        <v>Gas</v>
      </c>
      <c r="L106" s="2">
        <v>0</v>
      </c>
      <c r="M106" s="2">
        <v>0</v>
      </c>
      <c r="N106" s="2">
        <v>0</v>
      </c>
      <c r="O106" s="1" t="s">
        <v>328</v>
      </c>
      <c r="P106" s="1" t="s">
        <v>290</v>
      </c>
    </row>
    <row r="107" spans="1:16" x14ac:dyDescent="0.35">
      <c r="A107" s="1" t="s">
        <v>358</v>
      </c>
      <c r="B107" s="1" t="s">
        <v>359</v>
      </c>
      <c r="C107" s="1" t="s">
        <v>360</v>
      </c>
      <c r="D107" s="1" t="s">
        <v>39</v>
      </c>
      <c r="E107" s="1" t="s">
        <v>44</v>
      </c>
      <c r="F107" s="1" t="s">
        <v>84</v>
      </c>
      <c r="G107" s="2" t="s">
        <v>406</v>
      </c>
      <c r="H107" s="2">
        <v>-23024</v>
      </c>
      <c r="I107" s="2">
        <v>0</v>
      </c>
      <c r="J107" s="2">
        <v>0</v>
      </c>
      <c r="K107" s="2" t="str" cm="1">
        <f t="array" ref="K107">_xlfn.IFS($I107&gt;293, "Solid", $J107&lt;293, "Gas", TRUE, "Liquid")</f>
        <v>Gas</v>
      </c>
      <c r="L107" s="2">
        <v>0</v>
      </c>
      <c r="M107" s="2">
        <v>0</v>
      </c>
      <c r="N107" s="2">
        <v>0</v>
      </c>
      <c r="O107" s="1" t="s">
        <v>328</v>
      </c>
      <c r="P107" s="1" t="s">
        <v>290</v>
      </c>
    </row>
    <row r="108" spans="1:16" x14ac:dyDescent="0.35">
      <c r="A108" s="1" t="s">
        <v>361</v>
      </c>
      <c r="B108" s="1" t="s">
        <v>362</v>
      </c>
      <c r="C108" s="1" t="s">
        <v>363</v>
      </c>
      <c r="D108" s="1" t="s">
        <v>44</v>
      </c>
      <c r="E108" s="1" t="s">
        <v>44</v>
      </c>
      <c r="F108" s="1" t="s">
        <v>84</v>
      </c>
      <c r="G108" s="2" t="s">
        <v>406</v>
      </c>
      <c r="H108" s="2">
        <v>-26027</v>
      </c>
      <c r="I108" s="2">
        <v>0</v>
      </c>
      <c r="J108" s="2">
        <v>0</v>
      </c>
      <c r="K108" s="2" t="str" cm="1">
        <f t="array" ref="K108">_xlfn.IFS($I108&gt;293, "Solid", $J108&lt;293, "Gas", TRUE, "Liquid")</f>
        <v>Gas</v>
      </c>
      <c r="L108" s="2">
        <v>0</v>
      </c>
      <c r="M108" s="2">
        <v>0</v>
      </c>
      <c r="N108" s="2">
        <v>0</v>
      </c>
      <c r="O108" s="1" t="s">
        <v>328</v>
      </c>
      <c r="P108" s="1" t="s">
        <v>290</v>
      </c>
    </row>
    <row r="109" spans="1:16" x14ac:dyDescent="0.35">
      <c r="A109" s="1" t="s">
        <v>364</v>
      </c>
      <c r="B109" s="1" t="s">
        <v>365</v>
      </c>
      <c r="C109" s="1" t="s">
        <v>366</v>
      </c>
      <c r="D109" s="1" t="s">
        <v>49</v>
      </c>
      <c r="E109" s="1" t="s">
        <v>44</v>
      </c>
      <c r="F109" s="1" t="s">
        <v>84</v>
      </c>
      <c r="G109" s="2" t="s">
        <v>406</v>
      </c>
      <c r="H109" s="2">
        <v>-27029</v>
      </c>
      <c r="I109" s="2">
        <v>0</v>
      </c>
      <c r="J109" s="2">
        <v>0</v>
      </c>
      <c r="K109" s="2" t="str" cm="1">
        <f t="array" ref="K109">_xlfn.IFS($I109&gt;293, "Solid", $J109&lt;293, "Gas", TRUE, "Liquid")</f>
        <v>Gas</v>
      </c>
      <c r="L109" s="2">
        <v>0</v>
      </c>
      <c r="M109" s="2">
        <v>0</v>
      </c>
      <c r="N109" s="2">
        <v>0</v>
      </c>
      <c r="O109" s="1" t="s">
        <v>328</v>
      </c>
      <c r="P109" s="1" t="s">
        <v>290</v>
      </c>
    </row>
    <row r="110" spans="1:16" x14ac:dyDescent="0.35">
      <c r="A110" s="1" t="s">
        <v>367</v>
      </c>
      <c r="B110" s="1" t="s">
        <v>368</v>
      </c>
      <c r="C110" s="1" t="s">
        <v>369</v>
      </c>
      <c r="D110" s="1" t="s">
        <v>53</v>
      </c>
      <c r="E110" s="1" t="s">
        <v>44</v>
      </c>
      <c r="F110" s="1" t="s">
        <v>84</v>
      </c>
      <c r="G110" s="2" t="s">
        <v>406</v>
      </c>
      <c r="H110" s="2">
        <v>-27028</v>
      </c>
      <c r="I110" s="2">
        <v>0</v>
      </c>
      <c r="J110" s="2">
        <v>0</v>
      </c>
      <c r="K110" s="2" t="str" cm="1">
        <f t="array" ref="K110">_xlfn.IFS($I110&gt;293, "Solid", $J110&lt;293, "Gas", TRUE, "Liquid")</f>
        <v>Gas</v>
      </c>
      <c r="L110" s="2">
        <v>0</v>
      </c>
      <c r="M110" s="2">
        <v>0</v>
      </c>
      <c r="N110" s="2">
        <v>0</v>
      </c>
      <c r="O110" s="1" t="s">
        <v>328</v>
      </c>
      <c r="P110" s="1" t="s">
        <v>290</v>
      </c>
    </row>
    <row r="111" spans="1:16" x14ac:dyDescent="0.35">
      <c r="A111" s="1" t="s">
        <v>370</v>
      </c>
      <c r="B111" s="1" t="s">
        <v>371</v>
      </c>
      <c r="C111" s="1" t="s">
        <v>372</v>
      </c>
      <c r="D111" s="1" t="s">
        <v>38</v>
      </c>
      <c r="E111" s="1" t="s">
        <v>44</v>
      </c>
      <c r="F111" s="1" t="s">
        <v>84</v>
      </c>
      <c r="G111" s="2" t="s">
        <v>406</v>
      </c>
      <c r="H111" s="2">
        <v>-26027</v>
      </c>
      <c r="I111" s="2">
        <v>0</v>
      </c>
      <c r="J111" s="2">
        <v>0</v>
      </c>
      <c r="K111" s="2" t="str" cm="1">
        <f t="array" ref="K111">_xlfn.IFS($I111&gt;293, "Solid", $J111&lt;293, "Gas", TRUE, "Liquid")</f>
        <v>Gas</v>
      </c>
      <c r="L111" s="2">
        <v>0</v>
      </c>
      <c r="M111" s="2">
        <v>0</v>
      </c>
      <c r="N111" s="2">
        <v>0</v>
      </c>
      <c r="O111" s="1" t="s">
        <v>328</v>
      </c>
      <c r="P111" s="1" t="s">
        <v>290</v>
      </c>
    </row>
    <row r="112" spans="1:16" x14ac:dyDescent="0.35">
      <c r="A112" s="1" t="s">
        <v>373</v>
      </c>
      <c r="B112" s="1" t="s">
        <v>374</v>
      </c>
      <c r="C112" s="1" t="s">
        <v>375</v>
      </c>
      <c r="D112" s="1" t="s">
        <v>59</v>
      </c>
      <c r="E112" s="1" t="s">
        <v>44</v>
      </c>
      <c r="F112" s="1" t="s">
        <v>84</v>
      </c>
      <c r="G112" s="2" t="s">
        <v>406</v>
      </c>
      <c r="H112" s="2">
        <v>-22024</v>
      </c>
      <c r="I112" s="2">
        <v>0</v>
      </c>
      <c r="J112" s="2">
        <v>0</v>
      </c>
      <c r="K112" s="2" t="str" cm="1">
        <f t="array" ref="K112">_xlfn.IFS($I112&gt;293, "Solid", $J112&lt;293, "Gas", TRUE, "Liquid")</f>
        <v>Gas</v>
      </c>
      <c r="L112" s="2">
        <v>0</v>
      </c>
      <c r="M112" s="2">
        <v>0</v>
      </c>
      <c r="N112" s="2">
        <v>0</v>
      </c>
      <c r="O112" s="1" t="s">
        <v>328</v>
      </c>
      <c r="P112" s="1" t="s">
        <v>290</v>
      </c>
    </row>
    <row r="113" spans="1:16" x14ac:dyDescent="0.35">
      <c r="A113" s="1" t="s">
        <v>376</v>
      </c>
      <c r="B113" s="1" t="s">
        <v>377</v>
      </c>
      <c r="C113" s="1" t="s">
        <v>378</v>
      </c>
      <c r="D113" s="1" t="s">
        <v>62</v>
      </c>
      <c r="E113" s="1" t="s">
        <v>44</v>
      </c>
      <c r="F113" s="1" t="s">
        <v>84</v>
      </c>
      <c r="G113" s="2" t="s">
        <v>406</v>
      </c>
      <c r="H113" s="2">
        <v>-14</v>
      </c>
      <c r="I113" s="2" t="s">
        <v>379</v>
      </c>
      <c r="J113" s="2" t="s">
        <v>380</v>
      </c>
      <c r="K113" s="2" t="str" cm="1">
        <f t="array" ref="K113">_xlfn.IFS($I113&gt;293, "Solid", $J113&lt;293, "Gas", TRUE, "Liquid")</f>
        <v>Solid</v>
      </c>
      <c r="L113" s="2">
        <v>0</v>
      </c>
      <c r="M113" s="2">
        <v>0</v>
      </c>
      <c r="N113" s="2">
        <v>0</v>
      </c>
      <c r="O113" s="1" t="s">
        <v>328</v>
      </c>
      <c r="P113" s="1" t="s">
        <v>290</v>
      </c>
    </row>
    <row r="114" spans="1:16" x14ac:dyDescent="0.35">
      <c r="A114" s="1" t="s">
        <v>381</v>
      </c>
      <c r="B114" s="1" t="s">
        <v>382</v>
      </c>
      <c r="C114" s="1" t="s">
        <v>383</v>
      </c>
      <c r="D114" s="1" t="s">
        <v>36</v>
      </c>
      <c r="E114" s="1" t="s">
        <v>44</v>
      </c>
      <c r="F114" s="1" t="s">
        <v>37</v>
      </c>
      <c r="G114" s="2" t="s">
        <v>406</v>
      </c>
      <c r="H114" s="2">
        <v>-16</v>
      </c>
      <c r="I114" s="2">
        <v>-700</v>
      </c>
      <c r="J114" s="2">
        <v>-1400</v>
      </c>
      <c r="K114" s="2" t="str" cm="1">
        <f t="array" ref="K114">_xlfn.IFS($I114&gt;293, "Solid", $J114&lt;293, "Gas", TRUE, "Liquid")</f>
        <v>Gas</v>
      </c>
      <c r="L114" s="2">
        <v>0</v>
      </c>
      <c r="M114" s="2">
        <v>0</v>
      </c>
      <c r="N114" s="2">
        <v>0</v>
      </c>
      <c r="O114" s="1" t="s">
        <v>328</v>
      </c>
      <c r="P114" s="1" t="s">
        <v>290</v>
      </c>
    </row>
    <row r="115" spans="1:16" x14ac:dyDescent="0.35">
      <c r="A115" s="1" t="s">
        <v>384</v>
      </c>
      <c r="B115" s="1" t="s">
        <v>385</v>
      </c>
      <c r="C115" s="1" t="s">
        <v>386</v>
      </c>
      <c r="D115" s="1" t="s">
        <v>42</v>
      </c>
      <c r="E115" s="1" t="s">
        <v>44</v>
      </c>
      <c r="F115" s="1" t="s">
        <v>37</v>
      </c>
      <c r="G115" s="2" t="s">
        <v>406</v>
      </c>
      <c r="H115" s="2" t="s">
        <v>387</v>
      </c>
      <c r="I115" s="2" t="s">
        <v>388</v>
      </c>
      <c r="J115" s="2">
        <v>0</v>
      </c>
      <c r="K115" s="2" t="str" cm="1">
        <f t="array" ref="K115">_xlfn.IFS($I115&gt;293, "Solid", $J115&lt;293, "Gas", TRUE, "Liquid")</f>
        <v>Solid</v>
      </c>
      <c r="L115" s="2">
        <v>0</v>
      </c>
      <c r="M115" s="2">
        <v>0</v>
      </c>
      <c r="N115" s="2">
        <v>0</v>
      </c>
      <c r="O115" s="1" t="s">
        <v>328</v>
      </c>
      <c r="P115" s="1" t="s">
        <v>290</v>
      </c>
    </row>
    <row r="116" spans="1:16" x14ac:dyDescent="0.35">
      <c r="A116" s="1" t="s">
        <v>389</v>
      </c>
      <c r="B116" s="1" t="s">
        <v>390</v>
      </c>
      <c r="C116" s="1" t="s">
        <v>391</v>
      </c>
      <c r="D116" s="1" t="s">
        <v>47</v>
      </c>
      <c r="E116" s="1" t="s">
        <v>44</v>
      </c>
      <c r="F116" s="1" t="s">
        <v>37</v>
      </c>
      <c r="G116" s="2" t="s">
        <v>406</v>
      </c>
      <c r="H116" s="2">
        <v>-13.5</v>
      </c>
      <c r="I116" s="2">
        <v>-700</v>
      </c>
      <c r="J116" s="2">
        <v>-1400</v>
      </c>
      <c r="K116" s="2" t="str" cm="1">
        <f t="array" ref="K116">_xlfn.IFS($I116&gt;293, "Solid", $J116&lt;293, "Gas", TRUE, "Liquid")</f>
        <v>Gas</v>
      </c>
      <c r="L116" s="2">
        <v>0</v>
      </c>
      <c r="M116" s="2">
        <v>0</v>
      </c>
      <c r="N116" s="2">
        <v>0</v>
      </c>
      <c r="O116" s="1" t="s">
        <v>328</v>
      </c>
      <c r="P116" s="1" t="s">
        <v>290</v>
      </c>
    </row>
    <row r="117" spans="1:16" x14ac:dyDescent="0.35">
      <c r="A117" s="1" t="s">
        <v>392</v>
      </c>
      <c r="B117" s="1" t="s">
        <v>393</v>
      </c>
      <c r="C117" s="1" t="s">
        <v>394</v>
      </c>
      <c r="D117" s="1" t="s">
        <v>52</v>
      </c>
      <c r="E117" s="1" t="s">
        <v>44</v>
      </c>
      <c r="F117" s="1" t="s">
        <v>37</v>
      </c>
      <c r="G117" s="2" t="s">
        <v>406</v>
      </c>
      <c r="H117" s="2">
        <v>-12.9</v>
      </c>
      <c r="I117" s="2">
        <v>-700</v>
      </c>
      <c r="J117" s="2">
        <v>-1100</v>
      </c>
      <c r="K117" s="2" t="str" cm="1">
        <f t="array" ref="K117">_xlfn.IFS($I117&gt;293, "Solid", $J117&lt;293, "Gas", TRUE, "Liquid")</f>
        <v>Gas</v>
      </c>
      <c r="L117" s="2">
        <v>0</v>
      </c>
      <c r="M117" s="2">
        <v>0</v>
      </c>
      <c r="N117" s="2">
        <v>0</v>
      </c>
      <c r="O117" s="1" t="s">
        <v>328</v>
      </c>
      <c r="P117" s="1" t="s">
        <v>290</v>
      </c>
    </row>
    <row r="118" spans="1:16" x14ac:dyDescent="0.35">
      <c r="A118" s="1" t="s">
        <v>395</v>
      </c>
      <c r="B118" s="1" t="s">
        <v>396</v>
      </c>
      <c r="C118" s="1" t="s">
        <v>397</v>
      </c>
      <c r="D118" s="1" t="s">
        <v>56</v>
      </c>
      <c r="E118" s="1" t="s">
        <v>44</v>
      </c>
      <c r="F118" s="1" t="s">
        <v>37</v>
      </c>
      <c r="G118" s="2" t="s">
        <v>406</v>
      </c>
      <c r="H118" s="2" t="s">
        <v>404</v>
      </c>
      <c r="I118" s="2">
        <v>-700</v>
      </c>
      <c r="J118" s="2">
        <v>-883</v>
      </c>
      <c r="K118" s="2" t="str" cm="1">
        <f t="array" ref="K118">_xlfn.IFS($I118&gt;293, "Solid", $J118&lt;293, "Gas", TRUE, "Liquid")</f>
        <v>Gas</v>
      </c>
      <c r="L118" s="2">
        <v>0</v>
      </c>
      <c r="M118" s="2">
        <v>0</v>
      </c>
      <c r="N118" s="2">
        <v>0</v>
      </c>
      <c r="O118" s="1" t="s">
        <v>328</v>
      </c>
      <c r="P118" s="1" t="s">
        <v>290</v>
      </c>
    </row>
    <row r="119" spans="1:16" x14ac:dyDescent="0.35">
      <c r="A119" s="1" t="s">
        <v>398</v>
      </c>
      <c r="B119" s="1" t="s">
        <v>399</v>
      </c>
      <c r="C119" s="1" t="s">
        <v>400</v>
      </c>
      <c r="D119" s="1" t="s">
        <v>24</v>
      </c>
      <c r="E119" s="1" t="s">
        <v>44</v>
      </c>
      <c r="F119" s="1" t="s">
        <v>37</v>
      </c>
      <c r="G119" s="2" t="s">
        <v>406</v>
      </c>
      <c r="H119" s="2">
        <v>-7</v>
      </c>
      <c r="I119" s="2" t="s">
        <v>401</v>
      </c>
      <c r="J119" s="2" t="s">
        <v>402</v>
      </c>
      <c r="K119" s="2" t="str" cm="1">
        <f t="array" ref="K119">_xlfn.IFS($I119&gt;293, "Solid", $J119&lt;293, "Gas", TRUE, "Liquid")</f>
        <v>Solid</v>
      </c>
      <c r="L119" s="2">
        <v>0</v>
      </c>
      <c r="M119" s="2">
        <v>0</v>
      </c>
      <c r="N119" s="2">
        <v>0</v>
      </c>
      <c r="O119" s="1" t="s">
        <v>328</v>
      </c>
      <c r="P119" s="1" t="s">
        <v>290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63B154-0E89-4C41-8ABD-BB8A201A39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Table</vt:lpstr>
      <vt:lpstr>Table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2025-11-25T11:54:36Z</dcterms:created>
  <dcterms:modified xsi:type="dcterms:W3CDTF">2025-11-25T12:39:50Z</dcterms:modified>
</cp:coreProperties>
</file>